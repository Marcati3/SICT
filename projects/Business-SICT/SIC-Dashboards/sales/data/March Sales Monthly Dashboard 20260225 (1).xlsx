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c\Downloads\"/>
    </mc:Choice>
  </mc:AlternateContent>
  <xr:revisionPtr revIDLastSave="0" documentId="13_ncr:1_{B481EE20-99B7-4ED8-A7AC-1B717259232C}" xr6:coauthVersionLast="47" xr6:coauthVersionMax="47" xr10:uidLastSave="{00000000-0000-0000-0000-000000000000}"/>
  <bookViews>
    <workbookView xWindow="1170" yWindow="1170" windowWidth="27015" windowHeight="13245" xr2:uid="{46BC9038-1494-48ED-A4CF-345CA7E02253}"/>
  </bookViews>
  <sheets>
    <sheet name="Sales Dashboard" sheetId="2" r:id="rId1"/>
    <sheet name="Risk &amp; Opportunity" sheetId="9" r:id="rId2"/>
    <sheet name="Sheet2" sheetId="11" r:id="rId3"/>
    <sheet name="Sheet1" sheetId="10" r:id="rId4"/>
    <sheet name="Intira" sheetId="3" r:id="rId5"/>
    <sheet name="Lisa" sheetId="6" r:id="rId6"/>
    <sheet name="Nuttapon" sheetId="7" r:id="rId7"/>
    <sheet name="Shan" sheetId="8" r:id="rId8"/>
    <sheet name="Terry" sheetId="5" r:id="rId9"/>
    <sheet name="Tunn"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9" l="1"/>
  <c r="T12" i="9" s="1"/>
  <c r="S11" i="9"/>
  <c r="T11" i="9" s="1"/>
  <c r="F7" i="3" l="1"/>
  <c r="I3" i="11"/>
  <c r="H3" i="11"/>
  <c r="F7" i="7" l="1"/>
  <c r="H15" i="9"/>
  <c r="G15" i="9"/>
  <c r="G14" i="9"/>
  <c r="H14" i="9" s="1"/>
  <c r="E8" i="2"/>
  <c r="E7" i="2"/>
  <c r="E5" i="2"/>
  <c r="E15" i="5"/>
  <c r="F20" i="5"/>
  <c r="D4" i="5"/>
  <c r="D8" i="5"/>
  <c r="S42" i="9"/>
  <c r="F13" i="3"/>
  <c r="G13" i="3" s="1"/>
  <c r="F14" i="3"/>
  <c r="G14" i="3" s="1"/>
  <c r="F8" i="3"/>
  <c r="G8" i="3" s="1"/>
  <c r="D13" i="3"/>
  <c r="D11" i="3"/>
  <c r="F11" i="3" s="1"/>
  <c r="G11" i="3" s="1"/>
  <c r="D10" i="3"/>
  <c r="F10" i="3" s="1"/>
  <c r="G10" i="3" s="1"/>
  <c r="D9" i="3"/>
  <c r="F9" i="3" s="1"/>
  <c r="G9" i="3" s="1"/>
  <c r="D7" i="3"/>
  <c r="G7" i="3" s="1"/>
  <c r="D6" i="3"/>
  <c r="D18" i="3" s="1"/>
  <c r="D12" i="3"/>
  <c r="F12" i="3" s="1"/>
  <c r="G12" i="3" s="1"/>
  <c r="D9" i="4"/>
  <c r="E5" i="4"/>
  <c r="E6" i="4"/>
  <c r="E7" i="4"/>
  <c r="E8" i="4"/>
  <c r="E9" i="4"/>
  <c r="E10" i="4"/>
  <c r="E11" i="4"/>
  <c r="C12" i="3"/>
  <c r="C13" i="3"/>
  <c r="H7" i="9"/>
  <c r="H12" i="9"/>
  <c r="H5" i="9"/>
  <c r="G9" i="9"/>
  <c r="H9" i="9" s="1"/>
  <c r="G8" i="9"/>
  <c r="H8" i="9" s="1"/>
  <c r="G6" i="9"/>
  <c r="H6" i="9" s="1"/>
  <c r="S7" i="9"/>
  <c r="T7" i="9" s="1"/>
  <c r="S8" i="9"/>
  <c r="T8" i="9" s="1"/>
  <c r="S9" i="9"/>
  <c r="T9" i="9" s="1"/>
  <c r="S10" i="9"/>
  <c r="T10" i="9" s="1"/>
  <c r="S13" i="9"/>
  <c r="T13" i="9" s="1"/>
  <c r="S15" i="9"/>
  <c r="T15" i="9" s="1"/>
  <c r="S17" i="9"/>
  <c r="T17" i="9" s="1"/>
  <c r="S18" i="9"/>
  <c r="S20" i="9"/>
  <c r="T20" i="9" s="1"/>
  <c r="S21" i="9"/>
  <c r="T21" i="9" s="1"/>
  <c r="S22" i="9"/>
  <c r="S23" i="9"/>
  <c r="S24" i="9"/>
  <c r="S25" i="9"/>
  <c r="S26" i="9"/>
  <c r="S27" i="9"/>
  <c r="T27" i="9" s="1"/>
  <c r="S28" i="9"/>
  <c r="T28" i="9" s="1"/>
  <c r="S30" i="9"/>
  <c r="S31" i="9"/>
  <c r="T31" i="9" s="1"/>
  <c r="S33" i="9"/>
  <c r="T33" i="9" s="1"/>
  <c r="S34" i="9"/>
  <c r="T34" i="9" s="1"/>
  <c r="S35" i="9"/>
  <c r="S36" i="9"/>
  <c r="S37" i="9"/>
  <c r="S38" i="9"/>
  <c r="S39" i="9"/>
  <c r="S40" i="9"/>
  <c r="S41" i="9"/>
  <c r="S5" i="9"/>
  <c r="T5" i="9" s="1"/>
  <c r="G18" i="9" l="1"/>
  <c r="S43" i="9"/>
  <c r="F6" i="3"/>
  <c r="T41" i="9"/>
  <c r="T39" i="9"/>
  <c r="T40" i="9"/>
  <c r="G6" i="3" l="1"/>
  <c r="T35" i="9"/>
  <c r="T36" i="9"/>
  <c r="T37" i="9"/>
  <c r="T38" i="9"/>
  <c r="T30" i="9"/>
  <c r="T26" i="9"/>
  <c r="T25" i="9"/>
  <c r="T23" i="9"/>
  <c r="T24" i="9"/>
  <c r="T22" i="9"/>
  <c r="T18" i="9"/>
  <c r="F10" i="4"/>
  <c r="T43" i="9" l="1"/>
  <c r="E14" i="2" s="1"/>
  <c r="H18" i="9"/>
  <c r="E13" i="2" s="1"/>
  <c r="G5" i="2"/>
  <c r="F15" i="5"/>
  <c r="F21" i="5" s="1"/>
  <c r="C18" i="6"/>
  <c r="F14" i="6"/>
  <c r="F18" i="6" s="1"/>
  <c r="G8" i="2"/>
  <c r="D14" i="6"/>
  <c r="D13" i="6"/>
  <c r="D12" i="6"/>
  <c r="D11" i="6"/>
  <c r="E11" i="6" s="1"/>
  <c r="D6" i="6"/>
  <c r="E6" i="6" s="1"/>
  <c r="D8" i="6"/>
  <c r="E8" i="6" s="1"/>
  <c r="D10" i="6"/>
  <c r="E10" i="6" s="1"/>
  <c r="G7" i="2"/>
  <c r="D5" i="6"/>
  <c r="E5" i="6" s="1"/>
  <c r="D7" i="6"/>
  <c r="E7" i="6" s="1"/>
  <c r="D9" i="6"/>
  <c r="E9" i="6" s="1"/>
  <c r="F13" i="8"/>
  <c r="F11" i="7"/>
  <c r="G6" i="2" s="1"/>
  <c r="B9" i="5"/>
  <c r="E18" i="6" l="1"/>
  <c r="F19" i="6" s="1"/>
  <c r="D18" i="6"/>
  <c r="D8" i="7" l="1"/>
  <c r="B8" i="6"/>
  <c r="B7" i="6"/>
  <c r="E6" i="3"/>
  <c r="F14" i="4"/>
  <c r="G9" i="2" s="1"/>
  <c r="E12" i="4"/>
  <c r="F12" i="8"/>
  <c r="E9" i="8"/>
  <c r="E8" i="8"/>
  <c r="F7" i="8"/>
  <c r="E7" i="8"/>
  <c r="H9" i="3"/>
  <c r="E14" i="3"/>
  <c r="E13" i="3"/>
  <c r="D11" i="5" l="1"/>
  <c r="D9" i="5" l="1"/>
  <c r="E12" i="3" l="1"/>
  <c r="E8" i="5" l="1"/>
  <c r="D7" i="5"/>
  <c r="E7" i="5" s="1"/>
  <c r="D6" i="5"/>
  <c r="H12" i="3"/>
  <c r="H18" i="3" s="1"/>
  <c r="G4" i="2" s="1"/>
  <c r="G10" i="2" s="1"/>
  <c r="C11" i="3"/>
  <c r="E11" i="3" s="1"/>
  <c r="C10" i="3"/>
  <c r="E10" i="3" s="1"/>
  <c r="E4" i="5"/>
  <c r="C9" i="3"/>
  <c r="E9" i="3" s="1"/>
  <c r="C8" i="3"/>
  <c r="E8" i="3" s="1"/>
  <c r="C7" i="3"/>
  <c r="E7" i="3" s="1"/>
  <c r="C4" i="5"/>
  <c r="C15" i="3"/>
  <c r="B18" i="3"/>
  <c r="E5" i="5"/>
  <c r="E9" i="5"/>
  <c r="E10" i="5"/>
  <c r="E11" i="5"/>
  <c r="E12" i="5"/>
  <c r="E13" i="5"/>
  <c r="E14" i="5"/>
  <c r="E16" i="5"/>
  <c r="C8" i="5"/>
  <c r="C11" i="5"/>
  <c r="E15" i="3" l="1"/>
  <c r="F15" i="3"/>
  <c r="D21" i="5"/>
  <c r="E6" i="5"/>
  <c r="C18" i="3"/>
  <c r="C13" i="5"/>
  <c r="C9" i="5"/>
  <c r="C12" i="5"/>
  <c r="B21" i="5"/>
  <c r="E14" i="4"/>
  <c r="F15" i="4" s="1"/>
  <c r="E7" i="7"/>
  <c r="E8" i="7"/>
  <c r="E6" i="7"/>
  <c r="F5" i="2"/>
  <c r="F7" i="2"/>
  <c r="D12" i="8"/>
  <c r="C12" i="8"/>
  <c r="B12" i="8"/>
  <c r="E6" i="8"/>
  <c r="E12" i="8" s="1"/>
  <c r="D11" i="7"/>
  <c r="E6" i="2" s="1"/>
  <c r="F6" i="2" s="1"/>
  <c r="C11" i="7"/>
  <c r="C21" i="5"/>
  <c r="D14" i="4"/>
  <c r="C14" i="4"/>
  <c r="B14" i="4"/>
  <c r="E18" i="3"/>
  <c r="D10" i="2"/>
  <c r="E9" i="2" l="1"/>
  <c r="F9" i="2" s="1"/>
  <c r="G15" i="3"/>
  <c r="G18" i="3" s="1"/>
  <c r="H19" i="3" s="1"/>
  <c r="F18" i="3"/>
  <c r="E4" i="2" s="1"/>
  <c r="F4" i="2"/>
  <c r="E10" i="2"/>
  <c r="E15" i="2" s="1"/>
  <c r="F8" i="2"/>
  <c r="E21" i="5"/>
  <c r="F22" i="5" s="1"/>
  <c r="E11" i="7"/>
  <c r="F12" i="7" s="1"/>
  <c r="F10" i="2" l="1"/>
  <c r="G1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tc={5B93FD26-183F-4F50-8A67-FDE71574E796}</author>
    <author>tc={AE476469-DBEE-48D6-B314-AF9BBD074DFC}</author>
  </authors>
  <commentList>
    <comment ref="M12" authorId="0" shapeId="0" xr:uid="{5B93FD26-183F-4F50-8A67-FDE71574E796}">
      <text>
        <t>[Threaded comment]
Your version of Excel allows you to read this threaded comment; however, any edits to it will get removed if the file is opened in a newer version of Excel. Learn more: https://go.microsoft.com/fwlink/?linkid=870924
Comment:
    Split the opportunity</t>
      </text>
    </comment>
    <comment ref="M13" authorId="1" shapeId="0" xr:uid="{AE476469-DBEE-48D6-B314-AF9BBD074DFC}">
      <text>
        <t>[Threaded comment]
Your version of Excel allows you to read this threaded comment; however, any edits to it will get removed if the file is opened in a newer version of Excel. Learn more: https://go.microsoft.com/fwlink/?linkid=870924
Comment:
    Split the opportunity</t>
      </text>
    </comment>
  </commentList>
</comments>
</file>

<file path=xl/sharedStrings.xml><?xml version="1.0" encoding="utf-8"?>
<sst xmlns="http://schemas.openxmlformats.org/spreadsheetml/2006/main" count="536" uniqueCount="323">
  <si>
    <t>Monthly Sales Forecast Dashboard 2026 (Unconstrained Demand)</t>
  </si>
  <si>
    <t>SO at Mar 4th</t>
  </si>
  <si>
    <t>Feb actual + 10 months</t>
  </si>
  <si>
    <t>NBO sheet from CAE's CRM platform + Individual account progress + NPI</t>
  </si>
  <si>
    <t>Only what is put in the target need to be in the comment</t>
  </si>
  <si>
    <t>Salesperson</t>
  </si>
  <si>
    <t>(K$) Budget Target
2026</t>
  </si>
  <si>
    <t xml:space="preserve">YTD+ SO </t>
  </si>
  <si>
    <t>(K$) Mar
FCST
80% confidence</t>
  </si>
  <si>
    <t>(K$) GAP 
(Budget Target vs FCST)</t>
  </si>
  <si>
    <t xml:space="preserve">(K$) (3X GAP)
Customer Opportunities
2026 </t>
  </si>
  <si>
    <t>Comments</t>
  </si>
  <si>
    <t>Intira</t>
  </si>
  <si>
    <t>- AEG ID: focus on getting order of SIC73F1 * 20K pcs in Q4'26 ($65K). Budget is 2026 is 330K pcs (USD 1.226M). Due to market slow down and end customter still have stock of TI parts so we don't get volume order as planned.
- Allflex: to maintian all SIC278 to be shipped out in 2026. Allflex wants to push out 1.5M units ($89K) from Dec'26 to Jan'27- maintain as budget
- Received order from Caisley SIC279 * 460K pcs to be shipped out in 2026 with old price USD 0.21 (USD 96.6K) but pending for price discussion for low volume order</t>
  </si>
  <si>
    <t>Lisa</t>
  </si>
  <si>
    <t>Closed new PO of SIC73F1 with Waferwon: 50K(done, HID/Sumida supply)+150Kpcs(need wait for HID pass qualification)</t>
  </si>
  <si>
    <t>Nuttapon</t>
  </si>
  <si>
    <t>Order forecast of SIC73F1 from Hitachi JP (Jun., Sep., Dec., Mar.) at 6k to 9k units, totaling 24k to 36k units. ($110K)</t>
  </si>
  <si>
    <t>Shan</t>
  </si>
  <si>
    <t>4 products (SIC6149-91,  SIC614A-AN, SIC6146-EG, SIC6146-6H with annual estimated use by customer at 50k, 600k,  90k, 300k)  under qualification with post negotiation accepted pricing at 2.145, 2.2582, 1.95, 0.95/ unit. High (unlikely total volume is 1.04Million units ≈ 1.9MUSD). Realistic Consumption between 30-40% of total volume is 370K Units ≈ 680K USD)</t>
  </si>
  <si>
    <t>Terry</t>
  </si>
  <si>
    <t xml:space="preserve">
- Chase for update status from Japanese customer for Astag RE41 passport reader for pre-production lot then first order timeline of RE41 will be more clear,60K pcs($39K)
- FV will place another PO around 50 wafer($294K) for SIC5777 for the May and June Shipment 
</t>
  </si>
  <si>
    <t>Tunn</t>
  </si>
  <si>
    <t>Received PO for 1M ($230K) pcs 279 from APKID. Still waiting to hear back first week of March for TMV48 project.</t>
  </si>
  <si>
    <t>TOTAL</t>
  </si>
  <si>
    <t>Total (3X GAP) Unweighted</t>
  </si>
  <si>
    <t>Total weighted FCST risk</t>
  </si>
  <si>
    <t>Total weighted opportunities</t>
  </si>
  <si>
    <t>Total Overall Potential</t>
  </si>
  <si>
    <t>High</t>
  </si>
  <si>
    <r>
      <rPr>
        <b/>
        <sz val="11"/>
        <color rgb="FF0070C0"/>
        <rFont val="Aptos Narrow"/>
        <family val="2"/>
      </rPr>
      <t xml:space="preserve">Remark: </t>
    </r>
    <r>
      <rPr>
        <sz val="11"/>
        <color rgb="FF0070C0"/>
        <rFont val="Aptos Narrow"/>
        <family val="2"/>
      </rPr>
      <t>any opportunity with confidence level &gt;=80% move to Revenue Forecast in the FOLLOWING month</t>
    </r>
  </si>
  <si>
    <t>Medium</t>
  </si>
  <si>
    <t>Risk/Issue against the Budget, and Support needed</t>
  </si>
  <si>
    <t>Low</t>
  </si>
  <si>
    <t>Opportunities and Progress</t>
  </si>
  <si>
    <t>Sales</t>
  </si>
  <si>
    <t>Customer</t>
  </si>
  <si>
    <t>Chip name</t>
  </si>
  <si>
    <t>Issue</t>
  </si>
  <si>
    <t>Support need</t>
  </si>
  <si>
    <t>Risk Level</t>
  </si>
  <si>
    <t>K$ Rev Impact</t>
  </si>
  <si>
    <t>K$ Weighted Rev</t>
  </si>
  <si>
    <t>P-code</t>
  </si>
  <si>
    <t>New Opportunity</t>
  </si>
  <si>
    <t>Confident Level</t>
  </si>
  <si>
    <t>Volumes (Qty/pcs)</t>
  </si>
  <si>
    <t>Price/Unit</t>
  </si>
  <si>
    <t>K$ Unweighted Rev</t>
  </si>
  <si>
    <t>Expected Timeline
2026</t>
  </si>
  <si>
    <t>Current Status</t>
  </si>
  <si>
    <t>Action item/ Support Need (Who/What/When)</t>
  </si>
  <si>
    <t>Techna</t>
  </si>
  <si>
    <t>SIC7150</t>
  </si>
  <si>
    <t>Delivery lead time for SIC7150 is 7 months which is too long</t>
  </si>
  <si>
    <t>SC to shuffle production and pullin immediately</t>
  </si>
  <si>
    <t>KKP Bank</t>
  </si>
  <si>
    <t>Fido</t>
  </si>
  <si>
    <t>Fido card</t>
  </si>
  <si>
    <t>Q2</t>
  </si>
  <si>
    <r>
      <rPr>
        <sz val="11"/>
        <color rgb="FF0070C0"/>
        <rFont val="Aptos Narrow"/>
        <family val="2"/>
        <scheme val="minor"/>
      </rPr>
      <t>Feb 20th: Review price structure and reseller agreement with IDEX, awaiting for IDEX reply</t>
    </r>
    <r>
      <rPr>
        <sz val="11"/>
        <color theme="1"/>
        <rFont val="Aptos Narrow"/>
        <family val="2"/>
        <scheme val="minor"/>
      </rPr>
      <t xml:space="preserve">
Feb 17th:
1. Review and confirm IDEX reseller agreement by 20th Feb - PIC Nutt/ K.Marc
2. Create KKP proposal by 20th Feb - PIC Nutt/Karn
</t>
    </r>
  </si>
  <si>
    <t>Allflex</t>
  </si>
  <si>
    <t>AFX</t>
  </si>
  <si>
    <t>AF+G1 CSP delivery schedule is delayed from originally planned</t>
  </si>
  <si>
    <t>Need SC to expedite with the supplier</t>
  </si>
  <si>
    <t>Waferwon</t>
  </si>
  <si>
    <t>SIC73F1</t>
  </si>
  <si>
    <t>HID capacity insufficient</t>
  </si>
  <si>
    <t>HID supply lead time 
- Appripeya to get back on lead time                  -HID now fully loaded till end of Q3                      -Waferwon rush on place new order 20K</t>
    <phoneticPr fontId="10" type="noConversion"/>
  </si>
  <si>
    <t>Silca</t>
  </si>
  <si>
    <t>ATLF2SG2</t>
  </si>
  <si>
    <t>OEM replacement</t>
  </si>
  <si>
    <t>Q3</t>
  </si>
  <si>
    <t>Feb 17th:
Customer to feedback sample result whether meet OEM requirment by 27th Mar - PIC Intira</t>
  </si>
  <si>
    <t>SA: Intira needs to verify if Silca needs any certificate for OEM, OEM cycle time - Silca will handle certificate, OEM will qualify for 12 months but Silca target to get the supply
SC: Currently have stock on hand</t>
  </si>
  <si>
    <t>SES</t>
  </si>
  <si>
    <t>SIC5777</t>
  </si>
  <si>
    <t xml:space="preserve">Tariff impact lead to difficult to receive order from end customer </t>
  </si>
  <si>
    <t>None</t>
  </si>
  <si>
    <t>Y-tex</t>
  </si>
  <si>
    <t>SIC379</t>
  </si>
  <si>
    <t xml:space="preserve">Direct Chip Supply in cannister </t>
  </si>
  <si>
    <t xml:space="preserve">Feb 24th:  Status:  Say Q2 is more realistic for them to complete analyzing transition to Chip purchase while figuring out other factors with subcontractors. Purchase could start as late as Q1 2027, if not within 2026. </t>
  </si>
  <si>
    <t>SA: Shan to update the clear direction of Y-Tex getting the IC supply from SIC today H1 1.2M units
SC: Product lead time for 3M/1.2M units?</t>
  </si>
  <si>
    <t>Astag</t>
  </si>
  <si>
    <t>RE41</t>
  </si>
  <si>
    <t>Pre-production delay due to customer need to add feature of reading at different transport data speed</t>
  </si>
  <si>
    <r>
      <rPr>
        <strike/>
        <sz val="11"/>
        <color rgb="FFFF0000"/>
        <rFont val="Aptos Narrow"/>
        <family val="2"/>
        <scheme val="minor"/>
      </rPr>
      <t xml:space="preserve">Support from CAE to help solve the issue for 43B type can be read in different trasnport speed </t>
    </r>
    <r>
      <rPr>
        <sz val="11"/>
        <color rgb="FFFF0000"/>
        <rFont val="Aptos Narrow"/>
        <family val="2"/>
        <scheme val="minor"/>
      </rPr>
      <t xml:space="preserve">
</t>
    </r>
    <r>
      <rPr>
        <sz val="11"/>
        <rFont val="Aptos Narrow"/>
        <family val="2"/>
        <scheme val="minor"/>
      </rPr>
      <t>None, due to we have help Astag on adding the speed feature and need to follow up Japanese end customer's confirmation for sending the pre-produciton lot</t>
    </r>
  </si>
  <si>
    <t xml:space="preserve">AnimalID BR </t>
  </si>
  <si>
    <t>SIC278</t>
  </si>
  <si>
    <t xml:space="preserve">Feb 24th: Status:  considering the pricing and process to purchase chips directly from SIC. Still slient/ No feedback yet. </t>
  </si>
  <si>
    <t>SA: Shan to update the clear direction from Animal Brazil today</t>
  </si>
  <si>
    <t>D-Think</t>
  </si>
  <si>
    <t>56NL</t>
  </si>
  <si>
    <t>Test new sample after holidays</t>
  </si>
  <si>
    <t>Q4</t>
  </si>
  <si>
    <t>Mar 5th:
Will send new sample on Mar. Factory just started working, estimate will ship out on 18th- PIC Lisa</t>
  </si>
  <si>
    <t>Tatwah</t>
  </si>
  <si>
    <t>SIC379/278                   Hitags256</t>
  </si>
  <si>
    <t>Transition from 279</t>
  </si>
  <si>
    <t>Mar 5th:
Cycle time for sample testing 1-2 months, to follow up test result by  20th Mar - PIC Lisa/Parada                                                                                                         Check if 278 have German Waste Management Standard/Pigeon Race Standard--PIC CAE</t>
  </si>
  <si>
    <t>CAE: Complete new sample in qardant wafer 30K pcs
SA: Lisa checked on customer cycle time for approval 1 month including field trial lead time.
FYA: Special promotion price for qardant wafer or free sample
PLM/PM: Prachanart to go to RFS gate</t>
  </si>
  <si>
    <t>Tempocom</t>
  </si>
  <si>
    <t>SIC72A1</t>
  </si>
  <si>
    <t>1 Reel short for March delivery, awaiting customer rest of year forecast to be available in Feb, to add the reel into next delivery</t>
  </si>
  <si>
    <t>Verify new official MOQ, after 1st order lower yield/ wafer left Tempocom order under supplied by 1 reel (5K). Next order deadline by the 24th. If new order not issued, price goes up.</t>
  </si>
  <si>
    <t>Lanhai</t>
  </si>
  <si>
    <t xml:space="preserve">SIC7888                   </t>
    <phoneticPr fontId="10" type="noConversion"/>
  </si>
  <si>
    <t xml:space="preserve">Close new PO on Q2                                     </t>
    <phoneticPr fontId="10" type="noConversion"/>
  </si>
  <si>
    <t xml:space="preserve">Monitor the monthly shipment                                                                                                                                                        </t>
    <phoneticPr fontId="10" type="noConversion"/>
  </si>
  <si>
    <t>SA: Lisa checked on customer cycle time they will produce sample in Mar. then send out in Mar. for US, and EU customer for livestock customers for approval which will take 3-6months for field trial lead time, and MP schedule</t>
  </si>
  <si>
    <t>SIC278</t>
    <phoneticPr fontId="10" type="noConversion"/>
  </si>
  <si>
    <t>Close new PO on March</t>
    <phoneticPr fontId="10" type="noConversion"/>
  </si>
  <si>
    <t xml:space="preserve">Q1 </t>
    <phoneticPr fontId="10" type="noConversion"/>
  </si>
  <si>
    <t>Monitor the monthly shipment 
Mar. 5th                                                                                                                                                          Will ship 327Kpcs on 6th Mar., need another 10 wafers on April. -L/T 4 weeks</t>
  </si>
  <si>
    <t>Caisley</t>
  </si>
  <si>
    <t>SIC279</t>
  </si>
  <si>
    <t>Customer has issues with staffs shortage and the winding machine, therefore they have to change to buy the HDX coil with chip instead. In 2026, we put budget for 2M pcs to 287K pcs+ new PO 460K pcs  (USD 415K --&gt; USD 157K). Price for low volumn is under negotiation</t>
  </si>
  <si>
    <t>To support price for low volumn qty (order of 460K pcs)</t>
  </si>
  <si>
    <t>Sistema</t>
  </si>
  <si>
    <t>Based on 3 months max rescheduling out, they would like to push out 1.5M pcs (USD 89K) from Oct'26 to Jan'27</t>
  </si>
  <si>
    <t xml:space="preserve">Terry </t>
  </si>
  <si>
    <t>Freevision</t>
  </si>
  <si>
    <t>SIC57G5</t>
  </si>
  <si>
    <t>Low-temp feature for pre-paid utility card</t>
  </si>
  <si>
    <t>Feb 17th:
Conclude comercial and feedback timeline to Winker - PIC Terry/Siriwan/Parada/Nutt/CCO/CEO</t>
  </si>
  <si>
    <t>SA: Terry to come up with business case by Feb 25th 
Overall is not possible to pull in because of the NPI timeline</t>
  </si>
  <si>
    <t>IC+Plastic circular tag, Astag provide sample to end customer to validate the function</t>
  </si>
  <si>
    <t>Feb 17th:
Follow sample feedback after CNY by Mar 6th- PIC Terry
Feb 25th:
No feedback from customer, still evaluating</t>
  </si>
  <si>
    <t>IDAID</t>
  </si>
  <si>
    <t>Vanguard: Potential of 6k pcs in Q2</t>
  </si>
  <si>
    <t>Feb 17th:
Follow up order after CNY by Mar 6th- PIC Terry</t>
  </si>
  <si>
    <t>APKID</t>
  </si>
  <si>
    <t>TMV48</t>
  </si>
  <si>
    <t>DAF Truck OEM project</t>
  </si>
  <si>
    <t xml:space="preserve">Q2 </t>
  </si>
  <si>
    <t>Feb 17th:
To update progress after India business trip by Feb Mar 5th:
Following up with the customer on their evaluation feedback. Will hear back from them by this month.</t>
  </si>
  <si>
    <t>Axess</t>
  </si>
  <si>
    <t>SIC56NL</t>
  </si>
  <si>
    <t>Ski card project. Trying to replace SLIX2</t>
  </si>
  <si>
    <t xml:space="preserve">Q3 </t>
  </si>
  <si>
    <t>Feb 17th:
Create Ski Card gen2 sample - PIC Rungnatha/ Prachanart
Mar 5th:
Follow up with the customer on their feedback on the evaluation report that we provided. Still need help from PLM and MEN to open a new project for this customer (SIC56NL ski card inlay)</t>
  </si>
  <si>
    <t>HID</t>
  </si>
  <si>
    <t>Currently, the customer is asking for MOQ and LT of this chip to add item in their system. The SC team provided the MOQ at 25 wafers (1M pcs) and LT w/o wafer at 10 months and LT w/ wafer at 5.5 months. Is there a way to reduce the LT?</t>
  </si>
  <si>
    <t xml:space="preserve">Q4 </t>
  </si>
  <si>
    <t>Feb 17th:
HID feedback lower product performance than EM, SIC to get some sample from HID to test - PIC Tunn/ Parada
Mar 5th:
HID feedback that the price that we re-proposed is still not competitive. I have already asked the customer to suggest what would be competitive. In Following up mode.</t>
  </si>
  <si>
    <t>MEN: Rungnatha to create Ski Card gen2 sample before Songkarn 18th
SA: Align with customer for new sample cycle time
PLM: To release RFS gate for new product form factor by Apr 30th</t>
  </si>
  <si>
    <t>Trying to get project from HID</t>
  </si>
  <si>
    <t>Feb 17th:
Reqest for counter proposal for price deduction by Feb 27th - PIC Tunn/ K.Marc
Mar 5th:
HID feedback that the price that we re-proposed is still not competitive. I have already asked the customer to suggest what would be competitive. In Following up mode.</t>
  </si>
  <si>
    <t>We cannot pull in because HID already place 1H order to competitor and we need to provide the test result based on HID's form factor</t>
  </si>
  <si>
    <t>Feb 17th:
HID feedback on Feb 16th that there is no business urgent, current price from Atmel is satisfy will consider again -- Follow up need in Q2 - PIC Tunn
Mar 5th:
HID feedback that the price that we re-proposed is still not competitive. I have already asked the customer to suggest what would be competitive. In Following up mode.</t>
  </si>
  <si>
    <t xml:space="preserve">We cannot pull in because HID already place 1H order to competitor </t>
  </si>
  <si>
    <t>Omnia</t>
  </si>
  <si>
    <t>The leadtime from SC is very long (8 months). The reason that Omnia want to switch to us is because EM leadtime is too long (more than 12 weeks)</t>
  </si>
  <si>
    <t>Feb 17th:
To update progress after India business trip by Feb 23th - PIC Tunn
Feb 26:
Still have no concrete plan for this chip. Will need to wait to hear the feedback from the customer side once we ship out the 120k pcs.</t>
  </si>
  <si>
    <t>Close the rest of the PO for 2026</t>
  </si>
  <si>
    <t>Feb 17th:
To update progress after India business trip by Feb Mar 5th:
Still waiting for the feedback from the customer side. Will follow up with them constantly.</t>
  </si>
  <si>
    <t>Based on 8 months lead time there is no way to meet 1H</t>
  </si>
  <si>
    <t>BTG</t>
  </si>
  <si>
    <t>Waiting for customer evaluation</t>
  </si>
  <si>
    <t>Feb 17th:
Follow up sample evaluation result by Feb 27th - PIC Tunn/ CAE
Feb 26:
Customer will probably take only the MOQ of 11,500 pcs this year. Will fully transition next year. Will try to get them to order more this year.</t>
  </si>
  <si>
    <t>Escatec</t>
  </si>
  <si>
    <t xml:space="preserve">Feb 17th:
Follow up sample evaluation result by Feb 27th - PIC Tunn/ CAE
Feb 26:
Assuming the same case with BTG will happen. Still have not heard back from the customer. Will keep following up with them. </t>
  </si>
  <si>
    <t>Wigidex</t>
  </si>
  <si>
    <t>Minibar project. We have received the PO from the customer, but still need to RFS the product.</t>
  </si>
  <si>
    <t>Q2 - Q4</t>
  </si>
  <si>
    <t>Feb 17th:
Request Management support to decide doing trading busines model rather than creating new standard product by Feb 25th - PIC K.Marc
Mar 5th:
The customer can accept the first shipment as late as June 2026</t>
  </si>
  <si>
    <t>IDOLOGY</t>
  </si>
  <si>
    <t>SIC479</t>
  </si>
  <si>
    <t>What does each size cost in less than 10,000 and more than 10,000 quantities with our ICAR #?  Per CAE Response --&gt; We have SIC279 12mm glass tag but with limited qty. that we need to keep for Oregon project, SIC279 isn't recommend for new design. Product Availability (PCODE + Brochure) available for approx 6 months so seems there is a gap</t>
  </si>
  <si>
    <t>Feb 24th: Cant accept standard prices, too high for lower volume. Market retail price is $3.95. Following up for price expectation.</t>
  </si>
  <si>
    <t>Key Craze</t>
  </si>
  <si>
    <t>ULTX</t>
  </si>
  <si>
    <t xml:space="preserve">Visting Bangkok on March 7th / Invited to SIC Awaiting confirmation. </t>
  </si>
  <si>
    <t xml:space="preserve">Q1 </t>
  </si>
  <si>
    <t>Feb 24th: Awaiting visit confirmation / visit objectives. Touch based, but no clear price exptation given, expressed interest in SILICA exclusive GTN (told can’t supply that)</t>
  </si>
  <si>
    <t>Mepco</t>
  </si>
  <si>
    <t xml:space="preserve">SIC43NT/S1 </t>
  </si>
  <si>
    <t xml:space="preserve">No Formulated Technical Plan to support Label Makers in place, Create a Technical plan for label makers to adopt RF/ NFC into their existing processes </t>
  </si>
  <si>
    <t xml:space="preserve">Feb 24th: 70% UHF 30% NFC requirement. Discussed with Muehlbauer and conference call tonight. NDA with Muehlbauer inprogress. Muehlbaur claims to not push materials (Chip), but highly coupled with NXP. Engaged with Engineering to verify SIC NFC special commands compatibility with MB encore engineering. </t>
  </si>
  <si>
    <t>STRATTEC</t>
  </si>
  <si>
    <t>Qualification outcomes TBA ULTX SIC6149-91</t>
  </si>
  <si>
    <t xml:space="preserve">Feb 24th: Given customer a harder stop to purchase plan, close this opportunity if no response within February. </t>
  </si>
  <si>
    <t>Qualification outcomes TBA ULTX SIC614A-AN</t>
  </si>
  <si>
    <t>Qualification outcomes TBA ULTX SIC6146-EG</t>
  </si>
  <si>
    <t>THV46</t>
  </si>
  <si>
    <t>Qualification outcomes TBA THV46 SIC6146-6H</t>
  </si>
  <si>
    <t>E-Garde</t>
  </si>
  <si>
    <t>SIC618A</t>
  </si>
  <si>
    <t>LF+AES access control</t>
  </si>
  <si>
    <t>Feb 17th:
1. Follow up Miwa feedback by 20th Feb - PIC: Terry/Parada
Feb 25th: 
Miwa have successfully encode our chip to their lock, and confirm can be use now, currently we are gna help them develop the software to be implement into MP est. around 2 weeks for this support. After supporting the software then move forward to reliability test, E-garde will consider order 100 pcs for this.</t>
  </si>
  <si>
    <t>SIC56ID</t>
  </si>
  <si>
    <t>Lundry tag</t>
  </si>
  <si>
    <t>Feb 17th:
Follow project feedback after CNY by Mar 6th- PIC Terry
Feb 25th:
No resposne from Rex on the project status</t>
  </si>
  <si>
    <t>Monokoto</t>
  </si>
  <si>
    <t>RE31</t>
  </si>
  <si>
    <t>NFC gaming device</t>
  </si>
  <si>
    <t>Feb 17th:
To identify concete project and information from Monokoto by Mar 6th- PIC Terry
Feb 25th:
End customer conducted filed test in mid Jan for the prototype Monokoto have made, 
now discussing internally for formal project approval with the management</t>
  </si>
  <si>
    <t>Hangyang</t>
  </si>
  <si>
    <t>SIC279/SIC379</t>
  </si>
  <si>
    <t>Feb 27th: Request to buy 6K pcs of SIC279</t>
  </si>
  <si>
    <t>Fasthink</t>
  </si>
  <si>
    <t>New orders placed on 27th Feb and need on 
23-Mar * 10K pcs and 1-Apr * 10K pcs. 
Currently SC confirms to ship out on 30th Apr.</t>
  </si>
  <si>
    <t xml:space="preserve">Expedite output on ULTX Wedge </t>
  </si>
  <si>
    <t>Weekly Sales Dashboard 2026</t>
  </si>
  <si>
    <t>Remark: this must be linked to the Rolling Forcast file with SC team</t>
  </si>
  <si>
    <t>2026 Budget</t>
  </si>
  <si>
    <t>As of 3-Feb</t>
  </si>
  <si>
    <t>As of 24-Feb</t>
  </si>
  <si>
    <t>Jan actual + 11 months</t>
  </si>
  <si>
    <t>Feb actual + 10 mths</t>
  </si>
  <si>
    <t>Budget Target</t>
  </si>
  <si>
    <t xml:space="preserve">Actual + Open SO </t>
  </si>
  <si>
    <t>Feb
FCST
80% confidence</t>
  </si>
  <si>
    <t>Mar
FCST
80% confidence</t>
  </si>
  <si>
    <t>(K$) GAP vs FCST</t>
  </si>
  <si>
    <t>(3X GAP)
Customer Opportunities
2026 (K$)</t>
  </si>
  <si>
    <t>Sales Plan
Comment</t>
  </si>
  <si>
    <t>Sales Person</t>
  </si>
  <si>
    <t>AEG ID</t>
  </si>
  <si>
    <t>Feb 1st: Focus on getting order of SIC73F1 
Opportunity 1: Try to get SIC7150 (in budget)</t>
  </si>
  <si>
    <t>Need help on pull in AF+G1 CSP shipment and AF+G2 ramp up in 2026 
Keep all SIC278 to be shipped out in 2026 (current they want to push out 1.5M pcs from 2026 to Jan'27)</t>
  </si>
  <si>
    <t>Due to staffs shortage and machine problem, they will need to buy coil+chips and can place PO for SIC279 * 460K pcs in 2026</t>
  </si>
  <si>
    <t>Opportunity for ATLF2SG2 GT for OEM customer (not in budget)</t>
  </si>
  <si>
    <t>JMA</t>
  </si>
  <si>
    <t>Kaba ILCO</t>
  </si>
  <si>
    <t>Minda Silca</t>
  </si>
  <si>
    <t>Smartrac</t>
  </si>
  <si>
    <t>Veridat</t>
  </si>
  <si>
    <t>Depends on water card samples availability</t>
  </si>
  <si>
    <t>Spark Minda</t>
  </si>
  <si>
    <t>Total (3X GAP)</t>
  </si>
  <si>
    <t>SOat endofJan</t>
    <phoneticPr fontId="10" type="noConversion"/>
  </si>
  <si>
    <t>Sales Person Lisa</t>
    <phoneticPr fontId="10" type="noConversion"/>
  </si>
  <si>
    <t xml:space="preserve">SO </t>
  </si>
  <si>
    <t xml:space="preserve">GAP vs FCST (K$) </t>
  </si>
  <si>
    <t>Fofia</t>
  </si>
  <si>
    <t>Close 2H frame order --379: 1Mpcs</t>
    <phoneticPr fontId="10" type="noConversion"/>
  </si>
  <si>
    <t>Hawang</t>
  </si>
  <si>
    <t>Close 7888 PO on Q3: 2Mpcs</t>
    <phoneticPr fontId="10" type="noConversion"/>
  </si>
  <si>
    <t>Soartech</t>
  </si>
  <si>
    <t>Tonghua</t>
  </si>
  <si>
    <t>Close new PO on Q2: RA10-30Kpcs, RE31-100Kpcs</t>
    <phoneticPr fontId="10" type="noConversion"/>
  </si>
  <si>
    <t>Voraus</t>
  </si>
  <si>
    <t>Close new PO on Q2:DST80 non-marking 20Kpcs</t>
  </si>
  <si>
    <t>Weferwon</t>
  </si>
  <si>
    <t>Closed new PO: 50K(done, HID+Sumida supply)+150Kpcs(need wait for HID pass qualification)</t>
  </si>
  <si>
    <t>EEDENG</t>
  </si>
  <si>
    <t>/</t>
  </si>
  <si>
    <t>To close new PO on Mar: 23000pcs</t>
  </si>
  <si>
    <t>HUALIN</t>
  </si>
  <si>
    <t>/</t>
    <phoneticPr fontId="10" type="noConversion"/>
  </si>
  <si>
    <t>To promote 7888 again with better price: 1Mpcs</t>
    <phoneticPr fontId="10" type="noConversion"/>
  </si>
  <si>
    <t>US project:279  1-3Mpcs;  278  1-5Mpcs(30% chances)</t>
    <phoneticPr fontId="10" type="noConversion"/>
  </si>
  <si>
    <t>NBO</t>
    <phoneticPr fontId="10" type="noConversion"/>
  </si>
  <si>
    <t>S</t>
  </si>
  <si>
    <t>Feb actual + 11 months</t>
  </si>
  <si>
    <t>Budget Target (K$)</t>
  </si>
  <si>
    <t>YTD+ SO (K$)</t>
  </si>
  <si>
    <t>Mar
FCST
80% confidence (K$)</t>
  </si>
  <si>
    <t>GAP vs FCST (K$)</t>
  </si>
  <si>
    <t>Nuttapon customer</t>
  </si>
  <si>
    <t>Hitachi TH</t>
  </si>
  <si>
    <t>Order forecast from Hitachi JP (Jun., Sep., Dec., Mar.) at 6k to 9k units, totaling 24k to 36k units. ($110K)</t>
  </si>
  <si>
    <t>Deliver SIC7150 order 1M pcs in July or faster
Close SIC278 for 1M units ($60K) by end of March 2026</t>
  </si>
  <si>
    <t>Head</t>
  </si>
  <si>
    <t>Follow up repeat orders 1K pcs ($4.6K)</t>
  </si>
  <si>
    <t>Summarize price proposal and submit to KKP Bank by mid of Feb</t>
  </si>
  <si>
    <t>SO at end of Jan</t>
  </si>
  <si>
    <t>Customer List</t>
  </si>
  <si>
    <t>IKS</t>
  </si>
  <si>
    <t xml:space="preserve">AKS signed frame order has high confidence &gt;90%. </t>
  </si>
  <si>
    <t>SIC72A1 product consumption was estimated by customer between 500K-1M units for year 1</t>
  </si>
  <si>
    <t>Strattec</t>
  </si>
  <si>
    <t xml:space="preserve">4 products (SIC6149-91,  SIC614A-AN, SIC6146-EG, SIC6146-6H with annual estimated use by customer at 50k, 600k,  90k, 300k)  under qualification with post negotiation accepted pricing at 2.145, 2.2582, 1.95, 0.95/ unit. High (unlikely total volume is 1.04Million units ≈ 1.9MUSD). Realistic Consumption between 30-40% of total volume is 370K Units ≈ 680K USD)
</t>
  </si>
  <si>
    <t>TYKMA</t>
  </si>
  <si>
    <t>Animal ID Encoder (Product) consumption was estimated by customer between 15 - 20 units for year 1</t>
  </si>
  <si>
    <t>Autentica</t>
  </si>
  <si>
    <t>SIC4340 equates to 25000 units consumed in 2026 compared to 100K they originally estimated</t>
  </si>
  <si>
    <t>Customer (Terry)</t>
  </si>
  <si>
    <t>March
FCST
80% confidence</t>
  </si>
  <si>
    <t xml:space="preserve">GAP
(Budget Target vs FCST) (K$) </t>
  </si>
  <si>
    <t>Changjo</t>
  </si>
  <si>
    <t>March 2nd : 
Received RA10 PO for 2026, 300k pcs($ 159K)
Pending another 100K RA12 ($45.1K)</t>
  </si>
  <si>
    <t>Chilitag</t>
  </si>
  <si>
    <t>March 2nd : 
Currently chasing  RE31 PO form Chilitag team for April and May total 7K pcs( $5.25K)</t>
  </si>
  <si>
    <t>Duali</t>
  </si>
  <si>
    <t>EPC</t>
  </si>
  <si>
    <t>March 2nd : 
Currently chasing  SIC73F1 PO for June 2k pcs ($7.7K)</t>
  </si>
  <si>
    <r>
      <t xml:space="preserve">Feb 2nd :
Pending for SIC279 order 770K pcs ($ 150K)
March 2nd : 
Announce that current PO for SIC5777 is only left around 3.7 million units, FV might need to place more SIC5777 for the shipment for May, June and </t>
    </r>
    <r>
      <rPr>
        <sz val="11"/>
        <rFont val="Aptos Narrow"/>
        <family val="2"/>
        <scheme val="minor"/>
      </rPr>
      <t>July (Still need to wait for SIC57G5 confirmation)</t>
    </r>
    <r>
      <rPr>
        <sz val="11"/>
        <color theme="1"/>
        <rFont val="Aptos Narrow"/>
        <family val="2"/>
        <scheme val="minor"/>
      </rPr>
      <t xml:space="preserve">
SIC278, FV want to know whether they are able to place MOQ 500k pcs at the price of $0.05497(Price for MOQ 3 million)</t>
    </r>
  </si>
  <si>
    <t>Hitachi</t>
  </si>
  <si>
    <t>March 2nd : 
Chase the rest of PO form Hitachi Thailand 40K($ 46.8k)</t>
  </si>
  <si>
    <t>Marshall</t>
  </si>
  <si>
    <t>March 2nd : 
Chase PO of SIC73F1 6K pcs in August ($21K)</t>
  </si>
  <si>
    <t>Queclink</t>
  </si>
  <si>
    <t>Feb 2nd :
Follow up for the commit order of 4.5 million pcs($882 K)  in order to receive rebate price
Rebate price: $0.1764, with 4.5 million pcs ($794K)</t>
  </si>
  <si>
    <t xml:space="preserve">Feb 2nd :
Tariff issue lead to end customer profit have been eaten by tariff, demand still exist but hard to follow the order </t>
  </si>
  <si>
    <t>Willlink</t>
  </si>
  <si>
    <r>
      <rPr>
        <sz val="11"/>
        <rFont val="Aptos Narrow"/>
        <family val="2"/>
        <scheme val="minor"/>
      </rPr>
      <t xml:space="preserve">March 2nd : </t>
    </r>
    <r>
      <rPr>
        <sz val="11"/>
        <color rgb="FFFF0000"/>
        <rFont val="Aptos Narrow"/>
        <family val="2"/>
        <scheme val="minor"/>
      </rPr>
      <t xml:space="preserve">
</t>
    </r>
    <r>
      <rPr>
        <sz val="11"/>
        <rFont val="Aptos Narrow"/>
        <family val="2"/>
        <scheme val="minor"/>
      </rPr>
      <t>After Korea trip the confident of Willlink for RA12 have drop from 264Kpcs($121K) / year to 100K pcs ($49K) / year</t>
    </r>
  </si>
  <si>
    <t>Goldsun</t>
  </si>
  <si>
    <t xml:space="preserve">March 2nd : 
Winbond - Estimate start testing SIC73F1 around april
UNC  - Estimate start testing SIC73F1 around april
</t>
  </si>
  <si>
    <t>Feb 2nd :
To help E-Garde to replace TI wedge to SIC wedge from MIWA est 150k pcs( $260k)
March 2nd:
Request support from EGD CEO to follow up on the SIC6146 order forecast.
Miwa project is moving forawrd, however the order will come after Miwa have done the reliability test.</t>
  </si>
  <si>
    <t>Feb 2nd :
Still waiting for the RE41 passport reader response from end customer, currently no feedback from end customer side
March 2nd:
Pending final confirmation from end customer to ship out 500pcs of pre-production lot. Est. within next week</t>
  </si>
  <si>
    <t>Hanyang</t>
  </si>
  <si>
    <t>Feb 2nd :
• Help to slove the impedence unstable issue for MP, SIC279 140k pcs(56k)
• Potential of ASIC kick off if SIC are able to lower the NRE fee and put it into 12 years unit price (NRE $200K)</t>
  </si>
  <si>
    <t>CMSC</t>
  </si>
  <si>
    <t>Feb 2nd :
• ASIC kick off for SIC73F1+SPI, NRE ($400K)
Currently end customer are lack of Human resource for testing the new solution, project delay to end of 2026</t>
  </si>
  <si>
    <t>Feb 2nd :
Chasing the new oppourtunity of 20K pcs of SIC73F1 to Vanguard( $70K)</t>
  </si>
  <si>
    <t>March 2nd:
Request 6K pcs of SIC279 ($2.4k)</t>
  </si>
  <si>
    <t>TUNN</t>
  </si>
  <si>
    <t>($) GAP vs FCST</t>
  </si>
  <si>
    <t>(3X GAP)
Customer Opportunities
2026 ($)</t>
  </si>
  <si>
    <t>APK</t>
  </si>
  <si>
    <t>Tentative on 1M pcs 279 project and TMV48 project
Feb 26: Got PO for 1M pcs 279. Still waiting to hear back first week of March for TMV48 project.</t>
  </si>
  <si>
    <t>Feb 26: Customer feedback that they will buy MOQ for this year for the full transitioning next year.</t>
  </si>
  <si>
    <t>Elektronika</t>
  </si>
  <si>
    <t>Access control and LF customer meeting in India</t>
  </si>
  <si>
    <t>Feb 26: Have not heard back from customer but assume the same with BTG.</t>
  </si>
  <si>
    <t>LUX</t>
  </si>
  <si>
    <t>Trying to close the Thai driver license project + SIC43NT project</t>
  </si>
  <si>
    <t>Several ongoing project including SIC72A1, SIC7150, and SIC56NL
Feb 26: Got PO for SIC56NL 560,000 pcs. Trying to work on SIC7150 project.</t>
  </si>
  <si>
    <t>Oregon</t>
  </si>
  <si>
    <t>To be discussed in details with the customer again on yearly PO
Feb 26: Customer is having a lot of inventory currently. They agree to take 38k pcs more 32mm GT later in the year and also the RW wedge for 50k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</si>
</sst>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Red]\-#,##0.00,,"/>
    <numFmt numFmtId="165" formatCode="#,##0.00,,"/>
    <numFmt numFmtId="166" formatCode="#,##0.0000,,"/>
    <numFmt numFmtId="167" formatCode="#,##0.00_ "/>
    <numFmt numFmtId="168" formatCode="#,##0.000"/>
    <numFmt numFmtId="169" formatCode="#,##0.0000"/>
    <numFmt numFmtId="170" formatCode="#,##0.0,"/>
    <numFmt numFmtId="171" formatCode="#,##0,"/>
  </numFmts>
  <fonts count="29">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0"/>
      <color theme="1"/>
      <name val="SF Pro Text"/>
      <family val="2"/>
    </font>
    <font>
      <sz val="10"/>
      <color theme="1"/>
      <name val="SF Pro Text"/>
      <family val="2"/>
    </font>
    <font>
      <b/>
      <u/>
      <sz val="10"/>
      <color rgb="FFFF0000"/>
      <name val="SF pro text"/>
    </font>
    <font>
      <b/>
      <u/>
      <sz val="10"/>
      <color theme="1"/>
      <name val="SF pro text"/>
    </font>
    <font>
      <sz val="11"/>
      <color rgb="FF000000"/>
      <name val="Aptos Narrow"/>
      <family val="2"/>
      <scheme val="minor"/>
    </font>
    <font>
      <sz val="10"/>
      <color theme="1"/>
      <name val="SF Pro Text"/>
    </font>
    <font>
      <sz val="9"/>
      <name val="Aptos Narrow"/>
      <family val="3"/>
      <charset val="134"/>
      <scheme val="minor"/>
    </font>
    <font>
      <b/>
      <sz val="11"/>
      <color rgb="FF000000"/>
      <name val="Aptos Narrow"/>
      <family val="2"/>
    </font>
    <font>
      <b/>
      <sz val="11"/>
      <color rgb="FFFF0000"/>
      <name val="Aptos Narrow"/>
      <family val="2"/>
      <scheme val="minor"/>
    </font>
    <font>
      <b/>
      <sz val="11"/>
      <color rgb="FF00B050"/>
      <name val="Aptos Narrow"/>
      <family val="2"/>
      <scheme val="minor"/>
    </font>
    <font>
      <sz val="10"/>
      <color theme="1"/>
      <name val="Arial"/>
      <family val="2"/>
    </font>
    <font>
      <b/>
      <sz val="11"/>
      <color rgb="FFFF0000"/>
      <name val="Aptos Narrow"/>
      <family val="3"/>
      <charset val="134"/>
      <scheme val="minor"/>
    </font>
    <font>
      <sz val="11"/>
      <color theme="1"/>
      <name val="Calibri"/>
      <family val="2"/>
    </font>
    <font>
      <b/>
      <sz val="14"/>
      <color theme="1"/>
      <name val="Aptos Narrow"/>
      <family val="2"/>
      <scheme val="minor"/>
    </font>
    <font>
      <sz val="14"/>
      <color theme="1"/>
      <name val="Aptos Narrow"/>
      <family val="2"/>
      <scheme val="minor"/>
    </font>
    <font>
      <sz val="14"/>
      <color rgb="FFFF0000"/>
      <name val="Aptos Narrow"/>
      <family val="2"/>
      <scheme val="minor"/>
    </font>
    <font>
      <b/>
      <sz val="14"/>
      <color rgb="FFFF0000"/>
      <name val="Aptos Narrow"/>
      <family val="2"/>
      <scheme val="minor"/>
    </font>
    <font>
      <sz val="14"/>
      <color theme="9" tint="-0.249977111117893"/>
      <name val="Aptos Narrow"/>
      <family val="2"/>
      <scheme val="minor"/>
    </font>
    <font>
      <sz val="11"/>
      <color rgb="FF0070C0"/>
      <name val="Aptos Narrow"/>
      <family val="2"/>
    </font>
    <font>
      <b/>
      <sz val="11"/>
      <color rgb="FF0070C0"/>
      <name val="Aptos Narrow"/>
      <family val="2"/>
    </font>
    <font>
      <b/>
      <u/>
      <sz val="18"/>
      <color theme="1"/>
      <name val="Aptos Narrow"/>
      <family val="2"/>
      <scheme val="minor"/>
    </font>
    <font>
      <sz val="11"/>
      <name val="Aptos Narrow"/>
      <family val="2"/>
      <scheme val="minor"/>
    </font>
    <font>
      <sz val="10"/>
      <color rgb="FFFF0000"/>
      <name val="SF Pro Text"/>
      <family val="2"/>
    </font>
    <font>
      <sz val="11"/>
      <color rgb="FF0070C0"/>
      <name val="Aptos Narrow"/>
      <family val="2"/>
      <scheme val="minor"/>
    </font>
    <font>
      <strike/>
      <sz val="11"/>
      <color rgb="FFFF0000"/>
      <name val="Aptos Narrow"/>
      <family val="2"/>
      <scheme val="minor"/>
    </font>
  </fonts>
  <fills count="1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AD4D8"/>
        <bgColor indexed="64"/>
      </patternFill>
    </fill>
    <fill>
      <patternFill patternType="solid">
        <fgColor rgb="FFFFB9B9"/>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8"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12">
    <xf numFmtId="0" fontId="0" fillId="0" borderId="0" xfId="0"/>
    <xf numFmtId="0" fontId="4" fillId="2" borderId="1" xfId="0" applyFont="1" applyFill="1" applyBorder="1" applyAlignment="1">
      <alignment horizontal="center" vertical="center"/>
    </xf>
    <xf numFmtId="0" fontId="0" fillId="0" borderId="1" xfId="0" applyBorder="1"/>
    <xf numFmtId="164" fontId="5" fillId="0" borderId="1" xfId="1" applyNumberFormat="1" applyFont="1" applyBorder="1" applyAlignment="1">
      <alignment horizontal="center" vertical="center"/>
    </xf>
    <xf numFmtId="164" fontId="5" fillId="0" borderId="1" xfId="0" applyNumberFormat="1" applyFont="1" applyBorder="1" applyAlignment="1">
      <alignment horizontal="center" vertical="center"/>
    </xf>
    <xf numFmtId="0" fontId="4" fillId="2" borderId="1" xfId="0" applyFont="1" applyFill="1" applyBorder="1" applyAlignment="1">
      <alignment vertical="center"/>
    </xf>
    <xf numFmtId="0" fontId="6" fillId="3" borderId="1" xfId="0" applyFont="1" applyFill="1" applyBorder="1" applyAlignment="1">
      <alignment horizontal="left" vertical="center"/>
    </xf>
    <xf numFmtId="164" fontId="7" fillId="3" borderId="1" xfId="1" applyNumberFormat="1" applyFont="1" applyFill="1" applyBorder="1" applyAlignment="1">
      <alignment horizontal="center" vertical="center"/>
    </xf>
    <xf numFmtId="0" fontId="4" fillId="2" borderId="2" xfId="0" applyFont="1" applyFill="1" applyBorder="1" applyAlignment="1">
      <alignment vertical="center"/>
    </xf>
    <xf numFmtId="0" fontId="4" fillId="2" borderId="3" xfId="0" applyFont="1" applyFill="1" applyBorder="1" applyAlignment="1">
      <alignment vertical="center"/>
    </xf>
    <xf numFmtId="164" fontId="4" fillId="2" borderId="1" xfId="0" applyNumberFormat="1" applyFont="1" applyFill="1" applyBorder="1" applyAlignment="1">
      <alignment horizontal="center"/>
    </xf>
    <xf numFmtId="164" fontId="4" fillId="2" borderId="1" xfId="1" applyNumberFormat="1" applyFont="1" applyFill="1" applyBorder="1" applyAlignment="1">
      <alignment horizontal="center" vertical="center" wrapText="1"/>
    </xf>
    <xf numFmtId="0" fontId="2" fillId="0" borderId="0" xfId="0" applyFont="1"/>
    <xf numFmtId="164" fontId="4" fillId="2" borderId="1" xfId="0" applyNumberFormat="1" applyFont="1" applyFill="1" applyBorder="1" applyAlignment="1">
      <alignment horizontal="center" vertical="center"/>
    </xf>
    <xf numFmtId="165" fontId="0" fillId="0" borderId="1" xfId="0" applyNumberFormat="1" applyBorder="1" applyAlignment="1">
      <alignment horizontal="center"/>
    </xf>
    <xf numFmtId="0" fontId="3" fillId="3" borderId="1" xfId="0" applyFont="1" applyFill="1" applyBorder="1" applyAlignment="1">
      <alignment horizontal="center" vertical="center" wrapText="1"/>
    </xf>
    <xf numFmtId="165" fontId="0" fillId="3" borderId="1" xfId="0" applyNumberFormat="1" applyFill="1" applyBorder="1"/>
    <xf numFmtId="0" fontId="3" fillId="0" borderId="1" xfId="0" applyFont="1" applyBorder="1" applyAlignment="1">
      <alignment horizontal="center" vertical="center" wrapText="1"/>
    </xf>
    <xf numFmtId="165" fontId="0" fillId="0" borderId="1" xfId="0" applyNumberFormat="1" applyBorder="1"/>
    <xf numFmtId="0" fontId="0" fillId="0" borderId="3" xfId="0" applyBorder="1"/>
    <xf numFmtId="0" fontId="3" fillId="2" borderId="1" xfId="0" applyFont="1" applyFill="1" applyBorder="1" applyAlignment="1">
      <alignment horizontal="center" vertical="center"/>
    </xf>
    <xf numFmtId="165" fontId="0" fillId="0" borderId="1" xfId="0" applyNumberFormat="1" applyBorder="1" applyAlignment="1">
      <alignment wrapText="1"/>
    </xf>
    <xf numFmtId="0" fontId="3" fillId="2" borderId="1" xfId="0" applyFont="1" applyFill="1" applyBorder="1" applyAlignment="1">
      <alignment horizontal="center" vertical="center" wrapText="1"/>
    </xf>
    <xf numFmtId="0" fontId="2" fillId="0" borderId="0" xfId="0" applyFont="1" applyAlignment="1">
      <alignment horizontal="center"/>
    </xf>
    <xf numFmtId="164" fontId="5" fillId="0" borderId="2" xfId="1" applyNumberFormat="1" applyFont="1" applyBorder="1" applyAlignment="1">
      <alignment horizontal="center" vertical="center"/>
    </xf>
    <xf numFmtId="0" fontId="4" fillId="2" borderId="3" xfId="0" applyFont="1" applyFill="1" applyBorder="1" applyAlignment="1">
      <alignment horizontal="center" vertical="center"/>
    </xf>
    <xf numFmtId="164" fontId="9" fillId="0" borderId="1" xfId="1" applyNumberFormat="1" applyFont="1" applyBorder="1" applyAlignment="1">
      <alignment horizontal="center" vertical="center"/>
    </xf>
    <xf numFmtId="165" fontId="0" fillId="3" borderId="1" xfId="0" applyNumberFormat="1" applyFill="1" applyBorder="1" applyAlignment="1">
      <alignment horizontal="center" vertical="center"/>
    </xf>
    <xf numFmtId="0" fontId="3" fillId="0" borderId="1" xfId="0" applyFont="1" applyBorder="1"/>
    <xf numFmtId="165" fontId="0" fillId="0" borderId="1" xfId="0" applyNumberFormat="1" applyBorder="1" applyAlignment="1">
      <alignment horizontal="center" vertical="center"/>
    </xf>
    <xf numFmtId="165" fontId="0" fillId="6" borderId="1" xfId="0" applyNumberFormat="1" applyFill="1" applyBorder="1" applyAlignment="1">
      <alignment horizontal="center" vertical="center"/>
    </xf>
    <xf numFmtId="165" fontId="0" fillId="0" borderId="1" xfId="0" applyNumberFormat="1" applyBorder="1" applyAlignment="1">
      <alignment vertical="center"/>
    </xf>
    <xf numFmtId="165" fontId="12" fillId="0" borderId="1" xfId="0" applyNumberFormat="1" applyFont="1" applyBorder="1" applyAlignment="1">
      <alignment horizontal="center" vertical="center"/>
    </xf>
    <xf numFmtId="165" fontId="0" fillId="0" borderId="2" xfId="0" applyNumberFormat="1" applyBorder="1" applyAlignment="1">
      <alignment wrapText="1"/>
    </xf>
    <xf numFmtId="164" fontId="12" fillId="0" borderId="1" xfId="0" applyNumberFormat="1" applyFont="1" applyBorder="1" applyAlignment="1">
      <alignment horizontal="center" vertical="center"/>
    </xf>
    <xf numFmtId="0" fontId="4" fillId="2" borderId="2" xfId="0" applyFont="1" applyFill="1" applyBorder="1" applyAlignment="1">
      <alignment horizontal="center" vertical="center"/>
    </xf>
    <xf numFmtId="164" fontId="4" fillId="2" borderId="2" xfId="1" applyNumberFormat="1" applyFont="1" applyFill="1" applyBorder="1" applyAlignment="1">
      <alignment horizontal="center" vertical="center" wrapText="1"/>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11" fillId="0" borderId="1" xfId="0" applyFont="1" applyBorder="1"/>
    <xf numFmtId="0" fontId="0" fillId="0" borderId="1" xfId="0" applyBorder="1" applyAlignment="1">
      <alignment horizontal="center" vertical="center"/>
    </xf>
    <xf numFmtId="0" fontId="3" fillId="0" borderId="0" xfId="0" applyFont="1"/>
    <xf numFmtId="0" fontId="0" fillId="0" borderId="0" xfId="0" applyAlignment="1">
      <alignment horizontal="center" vertical="center"/>
    </xf>
    <xf numFmtId="0" fontId="11" fillId="0" borderId="1" xfId="0" applyFont="1" applyBorder="1" applyAlignment="1">
      <alignment horizontal="left"/>
    </xf>
    <xf numFmtId="0" fontId="12" fillId="0" borderId="0" xfId="0" applyFont="1"/>
    <xf numFmtId="165" fontId="0" fillId="8" borderId="1" xfId="0" applyNumberFormat="1" applyFill="1" applyBorder="1"/>
    <xf numFmtId="0" fontId="0" fillId="8" borderId="1" xfId="0" applyFill="1" applyBorder="1"/>
    <xf numFmtId="0" fontId="12" fillId="8" borderId="1" xfId="0" applyFont="1" applyFill="1" applyBorder="1"/>
    <xf numFmtId="0" fontId="0" fillId="0" borderId="2" xfId="0" applyBorder="1" applyAlignment="1">
      <alignment vertical="center"/>
    </xf>
    <xf numFmtId="0" fontId="0" fillId="0" borderId="6" xfId="0" applyBorder="1" applyAlignment="1">
      <alignment vertical="center"/>
    </xf>
    <xf numFmtId="167" fontId="0" fillId="0" borderId="0" xfId="0" applyNumberFormat="1"/>
    <xf numFmtId="0" fontId="3" fillId="9" borderId="2" xfId="0" applyFont="1" applyFill="1" applyBorder="1" applyAlignment="1">
      <alignment horizontal="center" vertical="center" wrapText="1"/>
    </xf>
    <xf numFmtId="0" fontId="0" fillId="10" borderId="0" xfId="0" applyFill="1"/>
    <xf numFmtId="0" fontId="0" fillId="11" borderId="0" xfId="0" applyFill="1"/>
    <xf numFmtId="0" fontId="0" fillId="12" borderId="0" xfId="0" applyFill="1"/>
    <xf numFmtId="0" fontId="0" fillId="2" borderId="0" xfId="0" applyFill="1"/>
    <xf numFmtId="165" fontId="0" fillId="0" borderId="0" xfId="0" applyNumberFormat="1" applyAlignment="1">
      <alignment horizontal="center" vertical="center"/>
    </xf>
    <xf numFmtId="0" fontId="0" fillId="0" borderId="0" xfId="0" applyAlignment="1">
      <alignment horizontal="center"/>
    </xf>
    <xf numFmtId="0" fontId="0" fillId="13" borderId="0" xfId="0" applyFill="1"/>
    <xf numFmtId="0" fontId="0" fillId="0" borderId="1" xfId="0" applyBorder="1" applyAlignment="1">
      <alignment vertical="center"/>
    </xf>
    <xf numFmtId="0" fontId="0" fillId="0" borderId="0" xfId="0" applyAlignment="1">
      <alignment vertical="center"/>
    </xf>
    <xf numFmtId="0" fontId="0" fillId="0" borderId="0" xfId="0" applyAlignment="1">
      <alignment vertical="center" wrapText="1"/>
    </xf>
    <xf numFmtId="165" fontId="0" fillId="0" borderId="0" xfId="0" applyNumberFormat="1" applyAlignment="1">
      <alignment vertical="center"/>
    </xf>
    <xf numFmtId="0" fontId="16" fillId="0" borderId="0" xfId="0" applyFont="1" applyAlignment="1">
      <alignment vertical="center" wrapText="1"/>
    </xf>
    <xf numFmtId="0" fontId="0" fillId="0" borderId="0" xfId="0" applyAlignment="1">
      <alignment horizontal="center" vertical="center" wrapText="1"/>
    </xf>
    <xf numFmtId="166" fontId="0" fillId="0" borderId="0" xfId="0" applyNumberFormat="1" applyAlignment="1">
      <alignment horizontal="center" vertical="center"/>
    </xf>
    <xf numFmtId="0" fontId="13" fillId="0" borderId="0" xfId="0" applyFont="1" applyAlignment="1">
      <alignment horizontal="left" vertical="center"/>
    </xf>
    <xf numFmtId="9" fontId="0" fillId="0" borderId="0" xfId="0" applyNumberFormat="1"/>
    <xf numFmtId="0" fontId="3" fillId="0" borderId="0" xfId="0" applyFont="1" applyAlignment="1">
      <alignment horizontal="center"/>
    </xf>
    <xf numFmtId="165" fontId="3" fillId="0" borderId="0" xfId="0" applyNumberFormat="1" applyFont="1" applyAlignment="1">
      <alignment horizontal="center"/>
    </xf>
    <xf numFmtId="0" fontId="17" fillId="2"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2" borderId="2" xfId="0" applyFont="1" applyFill="1" applyBorder="1" applyAlignment="1">
      <alignment vertical="center"/>
    </xf>
    <xf numFmtId="0" fontId="18" fillId="0" borderId="0" xfId="0" applyFont="1"/>
    <xf numFmtId="0" fontId="17"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6" fillId="0" borderId="0" xfId="0" applyFont="1" applyAlignment="1">
      <alignment vertical="top" wrapText="1"/>
    </xf>
    <xf numFmtId="0" fontId="0" fillId="0" borderId="0" xfId="0" applyAlignment="1">
      <alignment horizontal="left" vertical="top" wrapText="1"/>
    </xf>
    <xf numFmtId="3" fontId="0" fillId="0" borderId="0" xfId="0" applyNumberFormat="1" applyAlignment="1">
      <alignment horizontal="center" vertical="top"/>
    </xf>
    <xf numFmtId="4" fontId="0" fillId="0" borderId="0" xfId="0" applyNumberFormat="1" applyAlignment="1">
      <alignment horizontal="center" vertical="top"/>
    </xf>
    <xf numFmtId="3" fontId="3" fillId="0" borderId="0" xfId="0" applyNumberFormat="1" applyFont="1" applyAlignment="1">
      <alignment horizontal="center" vertical="top"/>
    </xf>
    <xf numFmtId="0" fontId="18" fillId="0" borderId="0" xfId="0" applyFont="1" applyAlignment="1">
      <alignment vertical="top"/>
    </xf>
    <xf numFmtId="0" fontId="22" fillId="0" borderId="0" xfId="0" applyFont="1"/>
    <xf numFmtId="165" fontId="0" fillId="3" borderId="1" xfId="0" quotePrefix="1" applyNumberFormat="1" applyFill="1" applyBorder="1" applyAlignment="1">
      <alignment vertical="top" wrapText="1"/>
    </xf>
    <xf numFmtId="0" fontId="0" fillId="0" borderId="0" xfId="0" applyAlignment="1">
      <alignment horizontal="left"/>
    </xf>
    <xf numFmtId="4" fontId="0" fillId="0" borderId="0" xfId="0" applyNumberFormat="1" applyAlignment="1">
      <alignment horizontal="left" vertical="top"/>
    </xf>
    <xf numFmtId="0" fontId="0" fillId="0" borderId="0" xfId="0" applyAlignment="1">
      <alignment horizontal="left" vertical="center"/>
    </xf>
    <xf numFmtId="3" fontId="0" fillId="0" borderId="0" xfId="0" applyNumberFormat="1" applyAlignment="1">
      <alignment horizontal="left" vertical="top" wrapText="1"/>
    </xf>
    <xf numFmtId="0" fontId="3" fillId="0" borderId="0" xfId="0" applyFont="1" applyAlignment="1">
      <alignment horizontal="center" vertical="top" wrapText="1"/>
    </xf>
    <xf numFmtId="0" fontId="3" fillId="0" borderId="0" xfId="0" applyFont="1" applyAlignment="1">
      <alignment vertical="top"/>
    </xf>
    <xf numFmtId="0" fontId="3" fillId="0" borderId="0" xfId="0" applyFont="1" applyAlignment="1">
      <alignment horizontal="center" vertical="top"/>
    </xf>
    <xf numFmtId="168" fontId="0" fillId="0" borderId="0" xfId="0" applyNumberFormat="1" applyAlignment="1">
      <alignment horizontal="left" vertical="top" wrapText="1"/>
    </xf>
    <xf numFmtId="4" fontId="0" fillId="0" borderId="0" xfId="0" applyNumberFormat="1" applyAlignment="1">
      <alignment horizontal="left" vertical="top" wrapText="1"/>
    </xf>
    <xf numFmtId="169" fontId="0" fillId="0" borderId="0" xfId="0" applyNumberFormat="1" applyAlignment="1">
      <alignment horizontal="left" vertical="top" wrapText="1"/>
    </xf>
    <xf numFmtId="168" fontId="1" fillId="0" borderId="0" xfId="1" applyNumberFormat="1" applyFont="1" applyAlignment="1">
      <alignment horizontal="left" vertical="top" wrapText="1"/>
    </xf>
    <xf numFmtId="171" fontId="18" fillId="0" borderId="0" xfId="1" applyNumberFormat="1" applyFont="1" applyAlignment="1">
      <alignment vertical="top"/>
    </xf>
    <xf numFmtId="171" fontId="17" fillId="0" borderId="1" xfId="1" applyNumberFormat="1" applyFont="1" applyBorder="1" applyAlignment="1">
      <alignment horizontal="center" vertical="top" wrapText="1"/>
    </xf>
    <xf numFmtId="171" fontId="19" fillId="0" borderId="0" xfId="0" applyNumberFormat="1" applyFont="1"/>
    <xf numFmtId="171" fontId="21" fillId="0" borderId="0" xfId="0" applyNumberFormat="1" applyFont="1"/>
    <xf numFmtId="171" fontId="17" fillId="0" borderId="0" xfId="0" applyNumberFormat="1" applyFont="1"/>
    <xf numFmtId="170" fontId="1" fillId="0" borderId="0" xfId="1" applyNumberFormat="1" applyFont="1" applyAlignment="1">
      <alignment vertical="top"/>
    </xf>
    <xf numFmtId="171" fontId="1" fillId="0" borderId="0" xfId="1" applyNumberFormat="1" applyFont="1" applyAlignment="1">
      <alignment horizontal="center" vertical="top"/>
    </xf>
    <xf numFmtId="171" fontId="1" fillId="0" borderId="0" xfId="1" applyNumberFormat="1" applyFont="1" applyAlignment="1">
      <alignment vertical="top"/>
    </xf>
    <xf numFmtId="171" fontId="0" fillId="0" borderId="0" xfId="1" applyNumberFormat="1" applyFont="1" applyAlignment="1">
      <alignment horizontal="center" vertical="top"/>
    </xf>
    <xf numFmtId="171" fontId="3" fillId="0" borderId="0" xfId="1" applyNumberFormat="1" applyFont="1" applyAlignment="1">
      <alignment horizontal="center" vertical="top"/>
    </xf>
    <xf numFmtId="9" fontId="0" fillId="0" borderId="0" xfId="0" applyNumberFormat="1" applyAlignment="1">
      <alignment horizontal="center"/>
    </xf>
    <xf numFmtId="0" fontId="13" fillId="0" borderId="0" xfId="0" applyFont="1" applyAlignment="1">
      <alignment horizontal="left" vertical="center" wrapText="1"/>
    </xf>
    <xf numFmtId="0" fontId="0" fillId="0" borderId="0" xfId="0" applyAlignment="1">
      <alignment horizontal="center" vertical="top" wrapText="1"/>
    </xf>
    <xf numFmtId="0" fontId="0" fillId="10" borderId="0" xfId="0" applyFill="1" applyAlignment="1">
      <alignment horizontal="left" vertical="top" wrapText="1"/>
    </xf>
    <xf numFmtId="0" fontId="0" fillId="0" borderId="0" xfId="0" applyAlignment="1">
      <alignment horizontal="left" vertical="center" wrapText="1"/>
    </xf>
    <xf numFmtId="0" fontId="2" fillId="14" borderId="0" xfId="0" applyFont="1" applyFill="1" applyAlignment="1">
      <alignment horizontal="left" vertical="top" wrapText="1"/>
    </xf>
    <xf numFmtId="0" fontId="1" fillId="0" borderId="0" xfId="0" applyFont="1"/>
    <xf numFmtId="0" fontId="1" fillId="0" borderId="0" xfId="0" applyFont="1" applyAlignment="1">
      <alignment horizontal="center"/>
    </xf>
    <xf numFmtId="0" fontId="1" fillId="0" borderId="0" xfId="0" applyFont="1" applyAlignment="1">
      <alignment wrapText="1"/>
    </xf>
    <xf numFmtId="0" fontId="17" fillId="2" borderId="1" xfId="0" applyFont="1" applyFill="1" applyBorder="1" applyAlignment="1">
      <alignment horizontal="center" vertical="center" wrapText="1"/>
    </xf>
    <xf numFmtId="164" fontId="17" fillId="3" borderId="1" xfId="1" applyNumberFormat="1" applyFont="1" applyFill="1" applyBorder="1" applyAlignment="1">
      <alignment horizontal="center" vertical="center" wrapText="1"/>
    </xf>
    <xf numFmtId="165" fontId="1" fillId="3" borderId="1" xfId="0" quotePrefix="1" applyNumberFormat="1" applyFont="1" applyFill="1" applyBorder="1" applyAlignment="1">
      <alignment vertical="top" wrapText="1"/>
    </xf>
    <xf numFmtId="0" fontId="1" fillId="3" borderId="1" xfId="0" applyFont="1" applyFill="1" applyBorder="1" applyAlignment="1">
      <alignment vertical="top"/>
    </xf>
    <xf numFmtId="0" fontId="1" fillId="0" borderId="0" xfId="0" applyFont="1" applyAlignment="1">
      <alignment vertical="top"/>
    </xf>
    <xf numFmtId="0" fontId="0" fillId="15" borderId="0" xfId="0" applyFill="1" applyAlignment="1">
      <alignment horizontal="left" vertical="top" wrapText="1"/>
    </xf>
    <xf numFmtId="165" fontId="0" fillId="14" borderId="1" xfId="0" applyNumberFormat="1" applyFill="1" applyBorder="1" applyAlignment="1">
      <alignment horizontal="center" vertical="center"/>
    </xf>
    <xf numFmtId="165" fontId="0" fillId="0" borderId="1" xfId="0" applyNumberFormat="1" applyBorder="1" applyAlignment="1">
      <alignmen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165" fontId="3" fillId="0" borderId="5" xfId="0" applyNumberFormat="1" applyFont="1" applyBorder="1" applyAlignment="1">
      <alignment horizontal="center" vertical="center"/>
    </xf>
    <xf numFmtId="0" fontId="3" fillId="0" borderId="1" xfId="0" applyFont="1" applyBorder="1" applyAlignment="1">
      <alignment horizontal="center" vertical="center"/>
    </xf>
    <xf numFmtId="165" fontId="12" fillId="8" borderId="1" xfId="0" applyNumberFormat="1" applyFont="1" applyFill="1" applyBorder="1"/>
    <xf numFmtId="171" fontId="0" fillId="0" borderId="0" xfId="0" applyNumberFormat="1" applyAlignment="1">
      <alignment horizontal="center"/>
    </xf>
    <xf numFmtId="170" fontId="1" fillId="0" borderId="0" xfId="1" applyNumberFormat="1" applyFont="1" applyAlignment="1">
      <alignment horizontal="center" vertical="top"/>
    </xf>
    <xf numFmtId="171" fontId="3" fillId="0" borderId="12" xfId="1" applyNumberFormat="1" applyFont="1" applyBorder="1" applyAlignment="1">
      <alignment horizontal="center"/>
    </xf>
    <xf numFmtId="0" fontId="18" fillId="0" borderId="1" xfId="0" applyFont="1" applyBorder="1" applyAlignment="1">
      <alignment vertical="center"/>
    </xf>
    <xf numFmtId="171" fontId="18" fillId="0" borderId="1" xfId="1" applyNumberFormat="1" applyFont="1" applyBorder="1" applyAlignment="1">
      <alignment horizontal="center" vertical="center"/>
    </xf>
    <xf numFmtId="171" fontId="18" fillId="3" borderId="1" xfId="1" applyNumberFormat="1" applyFont="1" applyFill="1" applyBorder="1" applyAlignment="1">
      <alignment horizontal="center" vertical="center"/>
    </xf>
    <xf numFmtId="171" fontId="19" fillId="0" borderId="1" xfId="1" applyNumberFormat="1" applyFont="1" applyBorder="1" applyAlignment="1">
      <alignment horizontal="center" vertical="center"/>
    </xf>
    <xf numFmtId="171" fontId="20" fillId="0" borderId="1" xfId="1" applyNumberFormat="1" applyFont="1" applyBorder="1" applyAlignment="1">
      <alignment horizontal="center" vertical="center"/>
    </xf>
    <xf numFmtId="0" fontId="17" fillId="0" borderId="1" xfId="0" applyFont="1" applyBorder="1" applyAlignment="1">
      <alignment horizontal="center" vertical="center"/>
    </xf>
    <xf numFmtId="171" fontId="17" fillId="0" borderId="1" xfId="1" applyNumberFormat="1" applyFont="1" applyBorder="1" applyAlignment="1">
      <alignment horizontal="center" vertical="center"/>
    </xf>
    <xf numFmtId="171" fontId="17" fillId="3" borderId="1" xfId="1" applyNumberFormat="1" applyFont="1" applyFill="1" applyBorder="1" applyAlignment="1">
      <alignment horizontal="center" vertical="center"/>
    </xf>
    <xf numFmtId="165" fontId="2" fillId="0" borderId="1" xfId="0" applyNumberFormat="1" applyFont="1" applyBorder="1" applyAlignment="1">
      <alignment wrapText="1"/>
    </xf>
    <xf numFmtId="0" fontId="8" fillId="0" borderId="0" xfId="0" applyFont="1" applyAlignment="1">
      <alignment vertical="center"/>
    </xf>
    <xf numFmtId="0" fontId="8" fillId="0" borderId="0" xfId="0" applyFont="1" applyAlignment="1">
      <alignment vertical="center" wrapText="1"/>
    </xf>
    <xf numFmtId="171" fontId="8" fillId="0" borderId="0" xfId="1" applyNumberFormat="1" applyFont="1" applyAlignment="1">
      <alignment vertical="center"/>
    </xf>
    <xf numFmtId="165" fontId="8" fillId="0" borderId="0" xfId="0" applyNumberFormat="1" applyFont="1" applyAlignment="1">
      <alignment vertical="center"/>
    </xf>
    <xf numFmtId="0" fontId="8" fillId="0" borderId="0" xfId="0" applyFont="1"/>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center" vertical="top"/>
    </xf>
    <xf numFmtId="3" fontId="8" fillId="0" borderId="0" xfId="0" applyNumberFormat="1" applyFont="1" applyAlignment="1">
      <alignment horizontal="center" vertical="top"/>
    </xf>
    <xf numFmtId="4" fontId="8" fillId="0" borderId="0" xfId="0" applyNumberFormat="1" applyFont="1" applyAlignment="1">
      <alignment horizontal="center" vertical="top"/>
    </xf>
    <xf numFmtId="171" fontId="8" fillId="0" borderId="0" xfId="1" applyNumberFormat="1" applyFont="1" applyAlignment="1">
      <alignment horizontal="center" vertical="top"/>
    </xf>
    <xf numFmtId="168" fontId="8" fillId="0" borderId="0" xfId="0" applyNumberFormat="1" applyFont="1" applyAlignment="1">
      <alignment horizontal="left" vertical="top" wrapText="1"/>
    </xf>
    <xf numFmtId="0" fontId="8" fillId="0" borderId="0" xfId="0" applyFont="1" applyAlignment="1">
      <alignment horizontal="center" vertical="top" wrapText="1"/>
    </xf>
    <xf numFmtId="0" fontId="0" fillId="0" borderId="6" xfId="0" applyBorder="1" applyAlignment="1">
      <alignment wrapText="1"/>
    </xf>
    <xf numFmtId="0" fontId="0" fillId="0" borderId="2" xfId="0" applyBorder="1" applyAlignment="1">
      <alignment wrapText="1"/>
    </xf>
    <xf numFmtId="171" fontId="0" fillId="0" borderId="0" xfId="0" applyNumberFormat="1"/>
    <xf numFmtId="171" fontId="5" fillId="0" borderId="1" xfId="0" applyNumberFormat="1" applyFont="1" applyBorder="1" applyAlignment="1">
      <alignment horizontal="center" vertical="center"/>
    </xf>
    <xf numFmtId="171" fontId="0" fillId="0" borderId="1" xfId="0" applyNumberFormat="1" applyBorder="1" applyAlignment="1">
      <alignment horizontal="center"/>
    </xf>
    <xf numFmtId="171" fontId="0" fillId="0" borderId="1" xfId="0" applyNumberFormat="1" applyBorder="1" applyAlignment="1">
      <alignment horizontal="center" vertical="center"/>
    </xf>
    <xf numFmtId="171" fontId="5" fillId="0" borderId="1" xfId="1" applyNumberFormat="1" applyFont="1" applyBorder="1" applyAlignment="1">
      <alignment horizontal="center" vertical="center"/>
    </xf>
    <xf numFmtId="171" fontId="0" fillId="0" borderId="1" xfId="0" applyNumberFormat="1" applyBorder="1" applyAlignment="1">
      <alignment vertical="center"/>
    </xf>
    <xf numFmtId="171" fontId="4" fillId="0" borderId="1" xfId="1" applyNumberFormat="1" applyFont="1" applyBorder="1" applyAlignment="1">
      <alignment horizontal="center" vertical="center"/>
    </xf>
    <xf numFmtId="171" fontId="3" fillId="0" borderId="1" xfId="0" applyNumberFormat="1" applyFont="1" applyBorder="1" applyAlignment="1">
      <alignment horizontal="center" vertical="center"/>
    </xf>
    <xf numFmtId="171" fontId="13" fillId="0" borderId="1" xfId="0" applyNumberFormat="1" applyFont="1" applyBorder="1" applyAlignment="1">
      <alignment horizontal="center" vertical="center"/>
    </xf>
    <xf numFmtId="171" fontId="3" fillId="0" borderId="1" xfId="0" applyNumberFormat="1" applyFont="1" applyBorder="1" applyAlignment="1">
      <alignment horizontal="center"/>
    </xf>
    <xf numFmtId="171" fontId="12" fillId="0" borderId="1" xfId="0" applyNumberFormat="1" applyFont="1" applyBorder="1" applyAlignment="1">
      <alignment horizontal="center" vertical="center"/>
    </xf>
    <xf numFmtId="171" fontId="26" fillId="0" borderId="1" xfId="1" applyNumberFormat="1" applyFont="1" applyBorder="1" applyAlignment="1">
      <alignment horizontal="center" vertical="center"/>
    </xf>
    <xf numFmtId="171" fontId="0" fillId="5" borderId="1" xfId="0" applyNumberFormat="1" applyFill="1" applyBorder="1" applyAlignment="1">
      <alignment horizontal="center"/>
    </xf>
    <xf numFmtId="171" fontId="0" fillId="3" borderId="1" xfId="0" applyNumberFormat="1" applyFill="1" applyBorder="1" applyAlignment="1">
      <alignment horizontal="center"/>
    </xf>
    <xf numFmtId="171" fontId="0" fillId="15" borderId="1" xfId="0" applyNumberFormat="1" applyFill="1" applyBorder="1" applyAlignment="1">
      <alignment horizontal="center"/>
    </xf>
    <xf numFmtId="171" fontId="5" fillId="0" borderId="1" xfId="1" applyNumberFormat="1" applyFont="1" applyFill="1" applyBorder="1" applyAlignment="1">
      <alignment horizontal="center" vertical="center"/>
    </xf>
    <xf numFmtId="171" fontId="0" fillId="0" borderId="1" xfId="0" applyNumberFormat="1" applyBorder="1"/>
    <xf numFmtId="171" fontId="8" fillId="0" borderId="1" xfId="0" applyNumberFormat="1" applyFont="1" applyBorder="1" applyAlignment="1">
      <alignment horizontal="center"/>
    </xf>
    <xf numFmtId="171" fontId="3" fillId="0" borderId="11" xfId="0" applyNumberFormat="1" applyFont="1" applyBorder="1" applyAlignment="1">
      <alignment horizontal="center"/>
    </xf>
    <xf numFmtId="171" fontId="12" fillId="0" borderId="11" xfId="0" applyNumberFormat="1" applyFont="1" applyBorder="1" applyAlignment="1">
      <alignment horizontal="center" vertical="center"/>
    </xf>
    <xf numFmtId="171" fontId="9" fillId="0" borderId="1" xfId="1" applyNumberFormat="1" applyFont="1" applyBorder="1" applyAlignment="1">
      <alignment horizontal="center" vertical="center"/>
    </xf>
    <xf numFmtId="171" fontId="14" fillId="4" borderId="1" xfId="0" applyNumberFormat="1" applyFont="1" applyFill="1" applyBorder="1" applyAlignment="1">
      <alignment horizontal="center"/>
    </xf>
    <xf numFmtId="171" fontId="0" fillId="9" borderId="4" xfId="0" applyNumberFormat="1" applyFill="1" applyBorder="1" applyAlignment="1">
      <alignment horizontal="center" vertical="center"/>
    </xf>
    <xf numFmtId="171" fontId="9" fillId="0" borderId="1" xfId="0" applyNumberFormat="1" applyFont="1" applyBorder="1" applyAlignment="1">
      <alignment horizontal="center" vertical="center"/>
    </xf>
    <xf numFmtId="171" fontId="14" fillId="5" borderId="1" xfId="0" applyNumberFormat="1" applyFont="1" applyFill="1" applyBorder="1" applyAlignment="1">
      <alignment horizontal="center"/>
    </xf>
    <xf numFmtId="171" fontId="15" fillId="9" borderId="4" xfId="0" applyNumberFormat="1" applyFont="1" applyFill="1" applyBorder="1" applyAlignment="1">
      <alignment horizontal="center" vertical="center"/>
    </xf>
    <xf numFmtId="171" fontId="14" fillId="7" borderId="1" xfId="0" applyNumberFormat="1" applyFont="1" applyFill="1" applyBorder="1" applyAlignment="1">
      <alignment horizontal="center"/>
    </xf>
    <xf numFmtId="171" fontId="13" fillId="0" borderId="4" xfId="0" applyNumberFormat="1" applyFont="1" applyBorder="1" applyAlignment="1">
      <alignment horizontal="center" vertical="center"/>
    </xf>
    <xf numFmtId="171" fontId="12" fillId="0" borderId="4" xfId="0" applyNumberFormat="1" applyFont="1" applyBorder="1" applyAlignment="1">
      <alignment horizontal="center" vertical="center"/>
    </xf>
    <xf numFmtId="171" fontId="2" fillId="0" borderId="1" xfId="0" applyNumberFormat="1" applyFont="1" applyBorder="1" applyAlignment="1">
      <alignment horizontal="center"/>
    </xf>
    <xf numFmtId="171" fontId="2" fillId="0" borderId="0" xfId="0" applyNumberFormat="1" applyFont="1" applyAlignment="1">
      <alignment horizontal="center"/>
    </xf>
    <xf numFmtId="171" fontId="0" fillId="3" borderId="1" xfId="0" applyNumberFormat="1" applyFill="1" applyBorder="1"/>
    <xf numFmtId="171" fontId="5" fillId="0" borderId="2" xfId="1" applyNumberFormat="1" applyFont="1" applyBorder="1" applyAlignment="1">
      <alignment horizontal="center" vertical="center"/>
    </xf>
    <xf numFmtId="171" fontId="0" fillId="0" borderId="10" xfId="0" applyNumberFormat="1" applyBorder="1" applyAlignment="1">
      <alignment horizontal="center"/>
    </xf>
    <xf numFmtId="171" fontId="0" fillId="3" borderId="9" xfId="0" applyNumberFormat="1" applyFill="1" applyBorder="1"/>
    <xf numFmtId="171" fontId="0" fillId="0" borderId="2" xfId="0" applyNumberFormat="1" applyBorder="1"/>
    <xf numFmtId="171" fontId="0" fillId="0" borderId="2" xfId="0" applyNumberFormat="1" applyBorder="1" applyAlignment="1">
      <alignment horizontal="center"/>
    </xf>
    <xf numFmtId="171" fontId="0" fillId="3" borderId="2" xfId="0" applyNumberFormat="1" applyFill="1" applyBorder="1"/>
    <xf numFmtId="171" fontId="0" fillId="0" borderId="6" xfId="0" applyNumberFormat="1" applyBorder="1"/>
    <xf numFmtId="171" fontId="0" fillId="0" borderId="7" xfId="0" applyNumberFormat="1" applyBorder="1"/>
    <xf numFmtId="171" fontId="9" fillId="0" borderId="6" xfId="1" applyNumberFormat="1" applyFont="1" applyBorder="1" applyAlignment="1">
      <alignment horizontal="center" vertical="center"/>
    </xf>
    <xf numFmtId="171" fontId="0" fillId="0" borderId="8" xfId="0" applyNumberFormat="1" applyBorder="1" applyAlignment="1">
      <alignment horizontal="center"/>
    </xf>
    <xf numFmtId="165" fontId="0" fillId="3" borderId="1" xfId="0" applyNumberFormat="1" applyFill="1" applyBorder="1" applyAlignment="1">
      <alignment vertical="top" wrapText="1"/>
    </xf>
    <xf numFmtId="171" fontId="0" fillId="0" borderId="0" xfId="0" applyNumberFormat="1" applyAlignment="1">
      <alignment horizontal="center" vertical="top"/>
    </xf>
    <xf numFmtId="0" fontId="2" fillId="0" borderId="0" xfId="0" applyFont="1" applyAlignment="1">
      <alignment vertical="top" wrapText="1"/>
    </xf>
    <xf numFmtId="0" fontId="25" fillId="0" borderId="0" xfId="0" applyFont="1" applyAlignment="1">
      <alignment vertical="top" wrapText="1"/>
    </xf>
    <xf numFmtId="0" fontId="0" fillId="16" borderId="14" xfId="0" applyFill="1" applyBorder="1" applyAlignment="1">
      <alignment vertical="center"/>
    </xf>
    <xf numFmtId="0" fontId="0" fillId="16" borderId="12" xfId="0" applyFill="1" applyBorder="1" applyAlignment="1">
      <alignment vertical="center"/>
    </xf>
    <xf numFmtId="0" fontId="16" fillId="16" borderId="12" xfId="0" applyFont="1" applyFill="1" applyBorder="1" applyAlignment="1">
      <alignment vertical="center" wrapText="1"/>
    </xf>
    <xf numFmtId="0" fontId="0" fillId="16" borderId="12" xfId="0" applyFill="1" applyBorder="1" applyAlignment="1">
      <alignment horizontal="left" vertical="center" wrapText="1"/>
    </xf>
    <xf numFmtId="3" fontId="0" fillId="16" borderId="12" xfId="0" applyNumberFormat="1" applyFill="1" applyBorder="1" applyAlignment="1">
      <alignment horizontal="center" vertical="top"/>
    </xf>
    <xf numFmtId="170" fontId="0" fillId="16" borderId="12" xfId="1" applyNumberFormat="1" applyFont="1" applyFill="1" applyBorder="1" applyAlignment="1">
      <alignment horizontal="center" vertical="top"/>
    </xf>
    <xf numFmtId="170" fontId="0" fillId="16" borderId="13" xfId="1" applyNumberFormat="1" applyFont="1" applyFill="1" applyBorder="1" applyAlignment="1">
      <alignment vertical="top"/>
    </xf>
    <xf numFmtId="171" fontId="18" fillId="0" borderId="0" xfId="0" applyNumberFormat="1" applyFont="1"/>
    <xf numFmtId="0" fontId="17" fillId="17" borderId="1" xfId="0" applyFont="1" applyFill="1" applyBorder="1" applyAlignment="1">
      <alignment horizontal="center" vertical="center" wrapText="1"/>
    </xf>
    <xf numFmtId="0" fontId="24" fillId="0" borderId="0" xfId="0" applyFont="1" applyAlignment="1">
      <alignment horizontal="center"/>
    </xf>
  </cellXfs>
  <cellStyles count="2">
    <cellStyle name="Comma" xfId="1" builtinId="3"/>
    <cellStyle name="Normal" xfId="0" builtinId="0"/>
  </cellStyles>
  <dxfs count="24">
    <dxf>
      <font>
        <color rgb="FF9C0006"/>
      </font>
      <fill>
        <patternFill>
          <bgColor rgb="FFFFC7CE"/>
        </patternFill>
      </fill>
    </dxf>
    <dxf>
      <font>
        <color rgb="FF006100"/>
      </font>
      <fill>
        <patternFill>
          <bgColor rgb="FFC6EFCE"/>
        </patternFill>
      </fill>
    </dxf>
    <dxf>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font>
        <color rgb="FFFF0000"/>
      </font>
      <numFmt numFmtId="168" formatCode="#,##0.000"/>
      <alignment horizontal="left" vertical="top" textRotation="0" wrapText="0" indent="0" justifyLastLine="0" shrinkToFit="0" readingOrder="0"/>
    </dxf>
    <dxf>
      <font>
        <color rgb="FFFF0000"/>
      </font>
      <numFmt numFmtId="165" formatCode="#,##0.00,,"/>
      <alignment horizontal="center" vertical="top" textRotation="0" wrapText="0" indent="0" justifyLastLine="0" shrinkToFit="0" readingOrder="0"/>
    </dxf>
    <dxf>
      <font>
        <strike val="0"/>
        <outline val="0"/>
        <shadow val="0"/>
        <u val="none"/>
        <vertAlign val="baseline"/>
        <sz val="11"/>
        <color theme="1"/>
        <name val="Aptos Narrow"/>
        <family val="2"/>
        <scheme val="minor"/>
      </font>
      <numFmt numFmtId="171" formatCode="#,##0,"/>
      <alignment horizontal="center" vertical="top" textRotation="0" wrapText="0" indent="0" justifyLastLine="0" shrinkToFit="0" readingOrder="0"/>
    </dxf>
    <dxf>
      <font>
        <strike val="0"/>
        <outline val="0"/>
        <shadow val="0"/>
        <u val="none"/>
        <vertAlign val="baseline"/>
        <sz val="11"/>
        <color theme="1"/>
        <name val="Aptos Narrow"/>
        <family val="2"/>
        <scheme val="minor"/>
      </font>
      <numFmt numFmtId="171" formatCode="#,##0,"/>
      <alignment horizontal="center" vertical="top" textRotation="0" wrapText="0" indent="0" justifyLastLine="0" shrinkToFit="0" readingOrder="0"/>
    </dxf>
    <dxf>
      <numFmt numFmtId="4" formatCode="#,##0.00"/>
      <alignment horizontal="center" vertical="top" textRotation="0" wrapText="0" indent="0" justifyLastLine="0" shrinkToFit="0" readingOrder="0"/>
    </dxf>
    <dxf>
      <numFmt numFmtId="3" formatCode="#,##0"/>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horizontal="general"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vertical="top" textRotation="0" indent="0" justifyLastLine="0" shrinkToFit="0" readingOrder="0"/>
    </dxf>
    <dxf>
      <numFmt numFmtId="171" formatCode="#,##0,"/>
    </dxf>
    <dxf>
      <numFmt numFmtId="171" formatCode="#,##0,"/>
    </dxf>
    <dxf>
      <alignment horizontal="center" vertical="center" textRotation="0" wrapText="0" indent="0" justifyLastLine="0" shrinkToFit="0" readingOrder="0"/>
    </dxf>
    <dxf>
      <font>
        <b val="0"/>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AD4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uttapon Boonto" id="{4A1945B1-82FF-467C-BEC9-71B2A08E1AD4}" userId="S::nuttapon@sic.co.th::0967c5c1-2e7c-4f1a-8dd4-e51de5fb6ea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62EC6-054E-450B-99C4-AF2538C29342}" name="Table2" displayName="Table2" ref="A4:H17" totalsRowShown="0" headerRowDxfId="23">
  <autoFilter ref="A4:H17" xr:uid="{0B962EC6-054E-450B-99C4-AF2538C29342}"/>
  <tableColumns count="8">
    <tableColumn id="1" xr3:uid="{48CBD30D-C257-45C6-9F38-ED6F42CBDC25}" name="Sales" dataDxfId="22"/>
    <tableColumn id="2" xr3:uid="{F983475B-E98A-4C95-ADD2-B21356CB9B92}" name="Customer"/>
    <tableColumn id="6" xr3:uid="{FAE10629-B57F-44EF-BF85-AB018B4CA516}" name="Chip name"/>
    <tableColumn id="3" xr3:uid="{E853B71F-561E-4F16-8206-2A9F2E86821E}" name="Issue"/>
    <tableColumn id="4" xr3:uid="{FC4E8434-5C1C-4B24-A928-24FA3D9B5ECA}" name="Support need"/>
    <tableColumn id="7" xr3:uid="{F161BE9B-4F09-4DB5-A75A-420F09538BD6}" name="Risk Level" dataDxfId="21"/>
    <tableColumn id="8" xr3:uid="{40D00C8C-7581-4DB7-9DD5-9B30222DDFB5}" name="K$ Rev Impact" dataDxfId="20"/>
    <tableColumn id="5" xr3:uid="{BBF74D0B-B40F-4D2C-A7B2-E762323221F5}" name="K$ Weighted Rev"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4A3921-8A3B-4B02-8B00-B2B2371892C8}" name="Table25" displayName="Table25" ref="K4:V43" totalsRowShown="0" headerRowDxfId="18" dataDxfId="17">
  <autoFilter ref="K4:V43" xr:uid="{1E4A3921-8A3B-4B02-8B00-B2B2371892C8}"/>
  <tableColumns count="12">
    <tableColumn id="1" xr3:uid="{C826D4E7-3FF9-4C19-9D01-31B0728B7689}" name="Sales" dataDxfId="16"/>
    <tableColumn id="2" xr3:uid="{206748FB-AAC5-4D31-81CF-27CADE1EBC7C}" name="Customer" dataDxfId="15"/>
    <tableColumn id="6" xr3:uid="{9310941D-334A-4933-BEF8-B47FBD25131A}" name="Chip name" dataDxfId="14"/>
    <tableColumn id="12" xr3:uid="{BC0782D2-4B70-4E24-BC2B-4075A07ECCFB}" name="P-code" dataDxfId="13"/>
    <tableColumn id="3" xr3:uid="{98DB9502-902D-41DE-A867-B76A7E9697FD}" name="New Opportunity" dataDxfId="12"/>
    <tableColumn id="7" xr3:uid="{ABFA0608-BD41-4810-850C-89206871BCAC}" name="Confident Level" dataDxfId="11"/>
    <tableColumn id="8" xr3:uid="{895F3FD0-63EF-41B1-9422-88045C095DEE}" name="Volumes (Qty/pcs)" dataDxfId="10"/>
    <tableColumn id="4" xr3:uid="{68ED50A2-A950-4063-B7AE-03D052297375}" name="Price/Unit" dataDxfId="9"/>
    <tableColumn id="5" xr3:uid="{157302A7-A516-4EB5-A526-22084CB35D1B}" name="K$ Unweighted Rev" dataDxfId="8"/>
    <tableColumn id="10" xr3:uid="{BCA0043E-33AF-439F-A5EC-726DFF15E5D7}" name="K$ Weighted Rev" dataDxfId="7">
      <calculatedColumnFormula>IF(P5="Low",S5*$N$3,
IF(P5="Medium",S5*$N$2,
IF(P5="High",S5*$N$1,"")))</calculatedColumnFormula>
    </tableColumn>
    <tableColumn id="9" xr3:uid="{2990A30D-CE40-4EA2-BBBF-24F934DC4B17}" name="Expected Timeline_x000a_2026" dataDxfId="6"/>
    <tableColumn id="11" xr3:uid="{1EEF0CF2-9C61-41FC-80CE-BA495221CB66}" name="Current Status"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236E0C0-36CF-48C8-9ABC-748FBCFB796E}" name="Table7" displayName="Table7" ref="W4:W43" totalsRowShown="0" headerRowDxfId="4" dataDxfId="3">
  <autoFilter ref="W4:W43" xr:uid="{4236E0C0-36CF-48C8-9ABC-748FBCFB796E}"/>
  <tableColumns count="1">
    <tableColumn id="1" xr3:uid="{C4714399-0AC1-4BDA-9B74-A6979F09B541}" name="Action item/ Support Need (Who/What/Whe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2" dT="2026-03-05T05:52:52.72" personId="{4A1945B1-82FF-467C-BEC9-71B2A08E1AD4}" id="{5B93FD26-183F-4F50-8A67-FDE71574E796}">
    <text>Split the opportunity</text>
  </threadedComment>
  <threadedComment ref="M13" dT="2026-03-05T05:52:52.72" personId="{4A1945B1-82FF-467C-BEC9-71B2A08E1AD4}" id="{AE476469-DBEE-48D6-B314-AF9BBD074DFC}">
    <text>Split the opportunity</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17/10/relationships/threadedComment" Target="../threadedComments/threadedComment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7971-65EA-4E47-976C-EDEA55D6A729}">
  <dimension ref="B1:H17"/>
  <sheetViews>
    <sheetView tabSelected="1" topLeftCell="A4" zoomScale="90" zoomScaleNormal="90" workbookViewId="0">
      <selection activeCell="F4" sqref="F4"/>
    </sheetView>
  </sheetViews>
  <sheetFormatPr defaultRowHeight="15" customHeight="1"/>
  <cols>
    <col min="2" max="2" width="15.5703125" customWidth="1"/>
    <col min="3" max="3" width="18.5703125" customWidth="1"/>
    <col min="4" max="4" width="13.42578125" customWidth="1"/>
    <col min="5" max="5" width="22.5703125" customWidth="1"/>
    <col min="6" max="6" width="17.42578125" customWidth="1"/>
    <col min="7" max="7" width="16.5703125" customWidth="1"/>
    <col min="8" max="8" width="93.42578125" customWidth="1"/>
  </cols>
  <sheetData>
    <row r="1" spans="2:8" ht="24">
      <c r="B1" s="211" t="s">
        <v>0</v>
      </c>
      <c r="C1" s="211"/>
      <c r="D1" s="211"/>
      <c r="E1" s="211"/>
      <c r="F1" s="211"/>
      <c r="G1" s="211"/>
      <c r="H1" s="211"/>
    </row>
    <row r="2" spans="2:8" ht="63.75" customHeight="1">
      <c r="B2" s="113"/>
      <c r="C2" s="113"/>
      <c r="D2" s="12" t="s">
        <v>1</v>
      </c>
      <c r="E2" s="114" t="s">
        <v>2</v>
      </c>
      <c r="F2" s="113"/>
      <c r="G2" s="115" t="s">
        <v>3</v>
      </c>
      <c r="H2" s="113" t="s">
        <v>4</v>
      </c>
    </row>
    <row r="3" spans="2:8" ht="77.25" customHeight="1">
      <c r="B3" s="72" t="s">
        <v>5</v>
      </c>
      <c r="C3" s="116" t="s">
        <v>6</v>
      </c>
      <c r="D3" s="70" t="s">
        <v>7</v>
      </c>
      <c r="E3" s="117" t="s">
        <v>8</v>
      </c>
      <c r="F3" s="210" t="s">
        <v>9</v>
      </c>
      <c r="G3" s="71" t="s">
        <v>10</v>
      </c>
      <c r="H3" s="71" t="s">
        <v>11</v>
      </c>
    </row>
    <row r="4" spans="2:8" ht="112.5" customHeight="1">
      <c r="B4" s="132" t="s">
        <v>12</v>
      </c>
      <c r="C4" s="133">
        <v>10578896.061140001</v>
      </c>
      <c r="D4" s="133">
        <v>8497618.5506763775</v>
      </c>
      <c r="E4" s="134">
        <f>Intira!F18</f>
        <v>8869491.4430739991</v>
      </c>
      <c r="F4" s="135">
        <f t="shared" ref="F4:F10" si="0">E4-C4</f>
        <v>-1709404.6180660017</v>
      </c>
      <c r="G4" s="134">
        <f>Intira!H18</f>
        <v>114853.954</v>
      </c>
      <c r="H4" s="118" t="s">
        <v>13</v>
      </c>
    </row>
    <row r="5" spans="2:8" ht="31.5" customHeight="1">
      <c r="B5" s="132" t="s">
        <v>14</v>
      </c>
      <c r="C5" s="133">
        <v>1924653.426</v>
      </c>
      <c r="D5" s="133">
        <v>1342050.6811200001</v>
      </c>
      <c r="E5" s="134">
        <f>Lisa!D18</f>
        <v>1264422.1000000001</v>
      </c>
      <c r="F5" s="135">
        <f t="shared" si="0"/>
        <v>-660231.32599999988</v>
      </c>
      <c r="G5" s="134">
        <f>Lisa!F18</f>
        <v>2378150</v>
      </c>
      <c r="H5" s="85" t="s">
        <v>15</v>
      </c>
    </row>
    <row r="6" spans="2:8" ht="27" customHeight="1">
      <c r="B6" s="132" t="s">
        <v>16</v>
      </c>
      <c r="C6" s="133">
        <v>128557.23651033787</v>
      </c>
      <c r="D6" s="133">
        <v>85997.495969473341</v>
      </c>
      <c r="E6" s="134">
        <f>Nuttapon!D11</f>
        <v>115745.22045925859</v>
      </c>
      <c r="F6" s="135">
        <f t="shared" si="0"/>
        <v>-12812.016051079278</v>
      </c>
      <c r="G6" s="134">
        <f>Nuttapon!F11</f>
        <v>455188.22045925859</v>
      </c>
      <c r="H6" s="198" t="s">
        <v>17</v>
      </c>
    </row>
    <row r="7" spans="2:8" ht="60">
      <c r="B7" s="132" t="s">
        <v>18</v>
      </c>
      <c r="C7" s="133">
        <v>438365</v>
      </c>
      <c r="D7" s="133">
        <v>160033.35</v>
      </c>
      <c r="E7" s="134">
        <f>Shan!D12</f>
        <v>160593</v>
      </c>
      <c r="F7" s="135">
        <f t="shared" si="0"/>
        <v>-277772</v>
      </c>
      <c r="G7" s="134">
        <f>Shan!F12</f>
        <v>832220</v>
      </c>
      <c r="H7" s="198" t="s">
        <v>19</v>
      </c>
    </row>
    <row r="8" spans="2:8" ht="75">
      <c r="B8" s="132" t="s">
        <v>20</v>
      </c>
      <c r="C8" s="133">
        <v>3536363</v>
      </c>
      <c r="D8" s="133">
        <v>2280953.2443000004</v>
      </c>
      <c r="E8" s="134">
        <f>Terry!D21</f>
        <v>3245398.0200000005</v>
      </c>
      <c r="F8" s="135">
        <f t="shared" si="0"/>
        <v>-290964.97999999952</v>
      </c>
      <c r="G8" s="134">
        <f>Terry!F21</f>
        <v>783400</v>
      </c>
      <c r="H8" s="118" t="s">
        <v>21</v>
      </c>
    </row>
    <row r="9" spans="2:8" ht="36" customHeight="1">
      <c r="B9" s="132" t="s">
        <v>22</v>
      </c>
      <c r="C9" s="133">
        <v>4630858.5</v>
      </c>
      <c r="D9" s="133">
        <v>3075470.7299999995</v>
      </c>
      <c r="E9" s="134">
        <f>Tunn!D14</f>
        <v>4615139.5</v>
      </c>
      <c r="F9" s="135">
        <f t="shared" si="0"/>
        <v>-15719</v>
      </c>
      <c r="G9" s="134">
        <f>Tunn!F14</f>
        <v>107600</v>
      </c>
      <c r="H9" s="85" t="s">
        <v>23</v>
      </c>
    </row>
    <row r="10" spans="2:8" ht="23.25" customHeight="1">
      <c r="B10" s="137" t="s">
        <v>24</v>
      </c>
      <c r="C10" s="138">
        <v>22000000</v>
      </c>
      <c r="D10" s="138">
        <f t="shared" ref="D10" si="1">SUM(D4:D9)</f>
        <v>15442124.052065849</v>
      </c>
      <c r="E10" s="139">
        <f>SUM(E4:E9)</f>
        <v>18270789.283533257</v>
      </c>
      <c r="F10" s="136">
        <f t="shared" si="0"/>
        <v>-3729210.7164667435</v>
      </c>
      <c r="G10" s="139">
        <f>SUM(G4:G9)</f>
        <v>4671412.1744592581</v>
      </c>
      <c r="H10" s="119"/>
    </row>
    <row r="11" spans="2:8" ht="37.5">
      <c r="B11" s="83"/>
      <c r="C11" s="97"/>
      <c r="D11" s="97"/>
      <c r="E11" s="97"/>
      <c r="F11" s="98" t="s">
        <v>25</v>
      </c>
      <c r="G11" s="136">
        <f>(F10*3)+G10</f>
        <v>-6516219.9749409724</v>
      </c>
      <c r="H11" s="120"/>
    </row>
    <row r="12" spans="2:8" ht="18.75">
      <c r="B12" s="73"/>
      <c r="C12" s="73"/>
      <c r="D12" s="73"/>
      <c r="E12" s="73"/>
      <c r="F12" s="73"/>
      <c r="G12" s="73"/>
    </row>
    <row r="13" spans="2:8" ht="18.75">
      <c r="B13" s="73" t="s">
        <v>26</v>
      </c>
      <c r="C13" s="73"/>
      <c r="D13" s="73"/>
      <c r="E13" s="99">
        <f>'Risk &amp; Opportunity'!H18</f>
        <v>886914.16622999997</v>
      </c>
      <c r="F13" s="113"/>
      <c r="G13" s="73"/>
      <c r="H13" s="113"/>
    </row>
    <row r="14" spans="2:8" ht="18.75">
      <c r="B14" s="73" t="s">
        <v>27</v>
      </c>
      <c r="C14" s="73"/>
      <c r="D14" s="73"/>
      <c r="E14" s="100">
        <f>'Risk &amp; Opportunity'!T43</f>
        <v>1650907.67</v>
      </c>
      <c r="F14" s="73"/>
      <c r="G14" s="209"/>
    </row>
    <row r="15" spans="2:8" ht="18.75">
      <c r="B15" s="74" t="s">
        <v>28</v>
      </c>
      <c r="C15" s="73"/>
      <c r="D15" s="73"/>
      <c r="E15" s="101">
        <f>E10-E13+E14</f>
        <v>19034782.787303254</v>
      </c>
      <c r="F15" s="73"/>
      <c r="G15" s="73"/>
      <c r="H15" s="113"/>
    </row>
    <row r="16" spans="2:8">
      <c r="B16" s="113"/>
      <c r="C16" s="113"/>
      <c r="D16" s="113"/>
      <c r="E16" s="113"/>
      <c r="F16" s="113"/>
      <c r="G16" s="113"/>
      <c r="H16" s="113"/>
    </row>
    <row r="17" spans="2:8">
      <c r="B17" s="113"/>
      <c r="C17" s="113"/>
      <c r="D17" s="113"/>
      <c r="E17" s="113"/>
      <c r="F17" s="113"/>
      <c r="G17" s="113"/>
      <c r="H17" s="113"/>
    </row>
  </sheetData>
  <mergeCells count="1">
    <mergeCell ref="B1:H1"/>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BEF5-068E-4DB2-B728-89BAE8998450}">
  <dimension ref="A1:Y46"/>
  <sheetViews>
    <sheetView zoomScale="80" zoomScaleNormal="80" zoomScaleSheetLayoutView="100" workbookViewId="0">
      <selection activeCell="Y11" sqref="Y11"/>
    </sheetView>
  </sheetViews>
  <sheetFormatPr defaultRowHeight="15"/>
  <cols>
    <col min="2" max="3" width="11" customWidth="1"/>
    <col min="4" max="4" width="52.7109375" bestFit="1" customWidth="1"/>
    <col min="5" max="5" width="37.5703125" bestFit="1" customWidth="1"/>
    <col min="6" max="6" width="14" customWidth="1"/>
    <col min="7" max="7" width="16.140625" bestFit="1" customWidth="1"/>
    <col min="8" max="9" width="15" customWidth="1"/>
    <col min="12" max="12" width="15.140625" customWidth="1"/>
    <col min="13" max="13" width="13.140625" customWidth="1"/>
    <col min="14" max="14" width="21.5703125" customWidth="1"/>
    <col min="15" max="15" width="16.85546875" customWidth="1"/>
    <col min="16" max="16" width="14.85546875" customWidth="1"/>
    <col min="17" max="17" width="15.42578125" bestFit="1" customWidth="1"/>
    <col min="18" max="18" width="14.42578125" customWidth="1"/>
    <col min="19" max="19" width="10" style="57" customWidth="1"/>
    <col min="20" max="20" width="12.28515625" customWidth="1"/>
    <col min="21" max="21" width="13.140625" style="88" customWidth="1"/>
    <col min="22" max="22" width="46.140625" style="111" customWidth="1"/>
    <col min="23" max="23" width="15.42578125" customWidth="1"/>
    <col min="24" max="24" width="17.42578125" style="42" customWidth="1"/>
    <col min="25" max="25" width="17.85546875" customWidth="1"/>
  </cols>
  <sheetData>
    <row r="1" spans="1:24">
      <c r="E1" s="67">
        <v>0.7</v>
      </c>
      <c r="F1" s="54" t="s">
        <v>29</v>
      </c>
      <c r="G1" s="54"/>
      <c r="N1" s="67">
        <v>0.7</v>
      </c>
      <c r="O1" s="52" t="s">
        <v>29</v>
      </c>
      <c r="P1" s="84" t="s">
        <v>30</v>
      </c>
      <c r="R1" s="42"/>
      <c r="S1" s="107"/>
      <c r="T1" s="42"/>
      <c r="U1" s="86"/>
      <c r="V1" s="64"/>
      <c r="X1"/>
    </row>
    <row r="2" spans="1:24">
      <c r="E2" s="67">
        <v>0.5</v>
      </c>
      <c r="F2" s="53" t="s">
        <v>31</v>
      </c>
      <c r="G2" s="53"/>
      <c r="N2" s="67">
        <v>0.5</v>
      </c>
      <c r="O2" s="58" t="s">
        <v>31</v>
      </c>
      <c r="R2" s="42"/>
      <c r="S2" s="107"/>
      <c r="T2" s="42"/>
      <c r="U2" s="86"/>
      <c r="V2" s="64"/>
      <c r="X2"/>
    </row>
    <row r="3" spans="1:24">
      <c r="A3" s="44" t="s">
        <v>32</v>
      </c>
      <c r="E3" s="67">
        <v>0.1</v>
      </c>
      <c r="F3" s="55" t="s">
        <v>33</v>
      </c>
      <c r="G3" s="55"/>
      <c r="K3" s="66" t="s">
        <v>34</v>
      </c>
      <c r="N3" s="67">
        <v>0.1</v>
      </c>
      <c r="O3" s="53" t="s">
        <v>33</v>
      </c>
      <c r="R3" s="42"/>
      <c r="S3" s="107"/>
      <c r="T3" s="66"/>
      <c r="U3" s="86"/>
      <c r="V3" s="108"/>
      <c r="X3"/>
    </row>
    <row r="4" spans="1:24" ht="60">
      <c r="A4" s="41" t="s">
        <v>35</v>
      </c>
      <c r="B4" s="41" t="s">
        <v>36</v>
      </c>
      <c r="C4" s="41" t="s">
        <v>37</v>
      </c>
      <c r="D4" s="41" t="s">
        <v>38</v>
      </c>
      <c r="E4" s="41" t="s">
        <v>39</v>
      </c>
      <c r="F4" s="41" t="s">
        <v>40</v>
      </c>
      <c r="G4" s="41" t="s">
        <v>41</v>
      </c>
      <c r="H4" s="68" t="s">
        <v>42</v>
      </c>
      <c r="I4" s="41"/>
      <c r="K4" s="91" t="s">
        <v>35</v>
      </c>
      <c r="L4" s="91" t="s">
        <v>36</v>
      </c>
      <c r="M4" s="91" t="s">
        <v>37</v>
      </c>
      <c r="N4" s="91" t="s">
        <v>43</v>
      </c>
      <c r="O4" s="91" t="s">
        <v>44</v>
      </c>
      <c r="P4" s="91" t="s">
        <v>45</v>
      </c>
      <c r="Q4" s="91" t="s">
        <v>46</v>
      </c>
      <c r="R4" s="92" t="s">
        <v>47</v>
      </c>
      <c r="S4" s="92" t="s">
        <v>48</v>
      </c>
      <c r="T4" s="92" t="s">
        <v>42</v>
      </c>
      <c r="U4" s="90" t="s">
        <v>49</v>
      </c>
      <c r="V4" s="92" t="s">
        <v>50</v>
      </c>
      <c r="W4" s="90" t="s">
        <v>51</v>
      </c>
      <c r="X4"/>
    </row>
    <row r="5" spans="1:24" ht="105">
      <c r="A5" s="75" t="s">
        <v>16</v>
      </c>
      <c r="B5" s="75" t="s">
        <v>52</v>
      </c>
      <c r="C5" s="75" t="s">
        <v>53</v>
      </c>
      <c r="D5" s="75" t="s">
        <v>54</v>
      </c>
      <c r="E5" s="76" t="s">
        <v>55</v>
      </c>
      <c r="F5" s="77" t="s">
        <v>31</v>
      </c>
      <c r="G5" s="103">
        <v>57976.532459999995</v>
      </c>
      <c r="H5" s="104">
        <f>IF(F5="Low",G5*$E$3,
IF(F5="Medium",G5*$E$2,
IF(F5="High",G5*$E$1,"")))</f>
        <v>28988.266229999997</v>
      </c>
      <c r="I5" s="56"/>
      <c r="K5" s="75" t="s">
        <v>16</v>
      </c>
      <c r="L5" s="75" t="s">
        <v>56</v>
      </c>
      <c r="M5" s="75" t="s">
        <v>57</v>
      </c>
      <c r="N5" s="75"/>
      <c r="O5" s="75" t="s">
        <v>58</v>
      </c>
      <c r="P5" s="77" t="s">
        <v>29</v>
      </c>
      <c r="Q5" s="80">
        <v>20000</v>
      </c>
      <c r="R5" s="81">
        <v>10</v>
      </c>
      <c r="S5" s="105">
        <f>Table25[[#This Row],[Volumes (Qty/pcs)]]*Table25[[#This Row],[Price/Unit]]</f>
        <v>200000</v>
      </c>
      <c r="T5" s="105">
        <f t="shared" ref="T5:T41" si="0">IF(P5="Low",S5*$N$3,
IF(P5="Medium",S5*$N$2,
IF(P5="High",S5*$N$1,"")))</f>
        <v>140000</v>
      </c>
      <c r="U5" s="77" t="s">
        <v>59</v>
      </c>
      <c r="V5" s="89" t="s">
        <v>60</v>
      </c>
      <c r="W5" s="109"/>
      <c r="X5"/>
    </row>
    <row r="6" spans="1:24" ht="30">
      <c r="A6" s="75" t="s">
        <v>12</v>
      </c>
      <c r="B6" s="75" t="s">
        <v>61</v>
      </c>
      <c r="C6" s="75" t="s">
        <v>62</v>
      </c>
      <c r="D6" s="76" t="s">
        <v>63</v>
      </c>
      <c r="E6" s="75" t="s">
        <v>64</v>
      </c>
      <c r="F6" s="77" t="s">
        <v>29</v>
      </c>
      <c r="G6" s="103">
        <f>1600000*0.083</f>
        <v>132800</v>
      </c>
      <c r="H6" s="104">
        <f>IF(F6="Low",G6*$E$3,
IF(F6="Medium",G6*$E$2,
IF(F6="High",G6*$E$1,"")))</f>
        <v>92960</v>
      </c>
      <c r="I6" s="56"/>
      <c r="K6" s="75"/>
      <c r="L6" s="75"/>
      <c r="M6" s="75"/>
      <c r="N6" s="75"/>
      <c r="O6" s="75"/>
      <c r="P6" s="77"/>
      <c r="Q6" s="80"/>
      <c r="R6" s="81"/>
      <c r="S6" s="105"/>
      <c r="T6" s="105"/>
      <c r="U6" s="77"/>
      <c r="V6" s="94"/>
      <c r="W6" s="121"/>
      <c r="X6"/>
    </row>
    <row r="7" spans="1:24" ht="69.95" customHeight="1">
      <c r="A7" s="75" t="s">
        <v>14</v>
      </c>
      <c r="B7" s="75" t="s">
        <v>65</v>
      </c>
      <c r="C7" s="75" t="s">
        <v>66</v>
      </c>
      <c r="D7" s="76" t="s">
        <v>67</v>
      </c>
      <c r="E7" s="76" t="s">
        <v>68</v>
      </c>
      <c r="F7" s="77" t="s">
        <v>29</v>
      </c>
      <c r="G7" s="103">
        <v>600000</v>
      </c>
      <c r="H7" s="104">
        <f t="shared" ref="H7:H15" si="1">IF(F7="Low",G7*$E$3,
IF(F7="Medium",G7*$E$2,
IF(F7="High",G7*$E$1,"")))</f>
        <v>420000</v>
      </c>
      <c r="I7" s="56"/>
      <c r="K7" s="75" t="s">
        <v>12</v>
      </c>
      <c r="L7" s="75" t="s">
        <v>69</v>
      </c>
      <c r="M7" s="75" t="s">
        <v>70</v>
      </c>
      <c r="N7" s="75"/>
      <c r="O7" s="75" t="s">
        <v>71</v>
      </c>
      <c r="P7" s="77" t="s">
        <v>33</v>
      </c>
      <c r="Q7" s="80">
        <v>100000</v>
      </c>
      <c r="R7" s="81">
        <v>1</v>
      </c>
      <c r="S7" s="105">
        <f>Table25[[#This Row],[Volumes (Qty/pcs)]]*Table25[[#This Row],[Price/Unit]]</f>
        <v>100000</v>
      </c>
      <c r="T7" s="105">
        <f t="shared" si="0"/>
        <v>10000</v>
      </c>
      <c r="U7" s="77" t="s">
        <v>72</v>
      </c>
      <c r="V7" s="96" t="s">
        <v>73</v>
      </c>
      <c r="W7" s="79" t="s">
        <v>74</v>
      </c>
      <c r="X7"/>
    </row>
    <row r="8" spans="1:24" ht="150">
      <c r="A8" s="75" t="s">
        <v>20</v>
      </c>
      <c r="B8" s="75" t="s">
        <v>75</v>
      </c>
      <c r="C8" s="75" t="s">
        <v>76</v>
      </c>
      <c r="D8" s="76" t="s">
        <v>77</v>
      </c>
      <c r="E8" s="75" t="s">
        <v>78</v>
      </c>
      <c r="F8" s="77" t="s">
        <v>29</v>
      </c>
      <c r="G8" s="103">
        <f>3500000*0.0797</f>
        <v>278950</v>
      </c>
      <c r="H8" s="104">
        <f t="shared" si="1"/>
        <v>195265</v>
      </c>
      <c r="I8" s="56"/>
      <c r="K8" s="75" t="s">
        <v>18</v>
      </c>
      <c r="L8" s="75" t="s">
        <v>79</v>
      </c>
      <c r="M8" s="75" t="s">
        <v>80</v>
      </c>
      <c r="N8" s="75"/>
      <c r="O8" s="75" t="s">
        <v>81</v>
      </c>
      <c r="P8" s="77" t="s">
        <v>33</v>
      </c>
      <c r="Q8" s="80">
        <v>3000000</v>
      </c>
      <c r="R8" s="81">
        <v>0.26350000000000001</v>
      </c>
      <c r="S8" s="105">
        <f>Table25[[#This Row],[Volumes (Qty/pcs)]]*Table25[[#This Row],[Price/Unit]]</f>
        <v>790500</v>
      </c>
      <c r="T8" s="105">
        <f t="shared" si="0"/>
        <v>79050</v>
      </c>
      <c r="U8" s="77" t="s">
        <v>59</v>
      </c>
      <c r="V8" s="93" t="s">
        <v>82</v>
      </c>
      <c r="W8" s="79" t="s">
        <v>83</v>
      </c>
      <c r="X8"/>
    </row>
    <row r="9" spans="1:24" ht="120">
      <c r="A9" s="75" t="s">
        <v>20</v>
      </c>
      <c r="B9" s="75" t="s">
        <v>84</v>
      </c>
      <c r="C9" s="75" t="s">
        <v>85</v>
      </c>
      <c r="D9" s="201" t="s">
        <v>86</v>
      </c>
      <c r="E9" s="200" t="s">
        <v>87</v>
      </c>
      <c r="F9" s="77" t="s">
        <v>31</v>
      </c>
      <c r="G9" s="103">
        <f>60000*0.65</f>
        <v>39000</v>
      </c>
      <c r="H9" s="104">
        <f t="shared" si="1"/>
        <v>19500</v>
      </c>
      <c r="I9" s="56"/>
      <c r="K9" s="75" t="s">
        <v>18</v>
      </c>
      <c r="L9" s="75" t="s">
        <v>88</v>
      </c>
      <c r="M9" s="75" t="s">
        <v>89</v>
      </c>
      <c r="N9" s="75"/>
      <c r="O9" s="75" t="s">
        <v>81</v>
      </c>
      <c r="P9" s="77" t="s">
        <v>33</v>
      </c>
      <c r="Q9" s="80">
        <v>1200000</v>
      </c>
      <c r="R9" s="81">
        <v>9.7129999999999994E-2</v>
      </c>
      <c r="S9" s="105">
        <f>Table25[[#This Row],[Volumes (Qty/pcs)]]*Table25[[#This Row],[Price/Unit]]</f>
        <v>116556</v>
      </c>
      <c r="T9" s="105">
        <f t="shared" si="0"/>
        <v>11655.6</v>
      </c>
      <c r="U9" s="77" t="s">
        <v>72</v>
      </c>
      <c r="V9" s="93" t="s">
        <v>90</v>
      </c>
      <c r="W9" s="79" t="s">
        <v>91</v>
      </c>
      <c r="X9"/>
    </row>
    <row r="10" spans="1:24" ht="45">
      <c r="A10" s="75"/>
      <c r="B10" s="75"/>
      <c r="C10" s="75"/>
      <c r="D10" s="76"/>
      <c r="E10" s="76"/>
      <c r="F10" s="77"/>
      <c r="G10" s="103"/>
      <c r="H10" s="104"/>
      <c r="I10" s="56"/>
      <c r="K10" s="75" t="s">
        <v>14</v>
      </c>
      <c r="L10" s="75" t="s">
        <v>92</v>
      </c>
      <c r="M10" s="75" t="s">
        <v>93</v>
      </c>
      <c r="N10" s="75"/>
      <c r="O10" s="75" t="s">
        <v>94</v>
      </c>
      <c r="P10" s="77" t="s">
        <v>31</v>
      </c>
      <c r="Q10" s="80">
        <v>240000</v>
      </c>
      <c r="R10" s="81">
        <v>5.5E-2</v>
      </c>
      <c r="S10" s="105">
        <f>Table25[[#This Row],[Volumes (Qty/pcs)]]*Table25[[#This Row],[Price/Unit]]</f>
        <v>13200</v>
      </c>
      <c r="T10" s="105">
        <f t="shared" si="0"/>
        <v>6600</v>
      </c>
      <c r="U10" s="77" t="s">
        <v>95</v>
      </c>
      <c r="V10" s="93" t="s">
        <v>96</v>
      </c>
      <c r="W10" s="109"/>
      <c r="X10"/>
    </row>
    <row r="11" spans="1:24" ht="171.6" customHeight="1">
      <c r="A11" s="75"/>
      <c r="B11" s="75"/>
      <c r="C11" s="75"/>
      <c r="D11" s="76"/>
      <c r="E11" s="76"/>
      <c r="F11" s="77"/>
      <c r="G11" s="103"/>
      <c r="H11" s="104"/>
      <c r="I11" s="56"/>
      <c r="K11" s="75" t="s">
        <v>14</v>
      </c>
      <c r="L11" s="75" t="s">
        <v>97</v>
      </c>
      <c r="M11" s="76" t="s">
        <v>98</v>
      </c>
      <c r="N11" s="76"/>
      <c r="O11" s="75" t="s">
        <v>99</v>
      </c>
      <c r="P11" s="77" t="s">
        <v>33</v>
      </c>
      <c r="Q11" s="80">
        <v>3000000</v>
      </c>
      <c r="R11" s="81">
        <v>0.21</v>
      </c>
      <c r="S11" s="105">
        <f>Table25[[#This Row],[Volumes (Qty/pcs)]]*Table25[[#This Row],[Price/Unit]]</f>
        <v>630000</v>
      </c>
      <c r="T11" s="105">
        <f>IF(P11="Low",S11*$N$3,
IF(P11="Medium",S11*$N$2,
IF(P11="High",S11*$N$1,"")))</f>
        <v>63000</v>
      </c>
      <c r="U11" s="77" t="s">
        <v>95</v>
      </c>
      <c r="V11" s="93" t="s">
        <v>100</v>
      </c>
      <c r="W11" s="79" t="s">
        <v>101</v>
      </c>
      <c r="X11"/>
    </row>
    <row r="12" spans="1:24" ht="255">
      <c r="A12" s="75" t="s">
        <v>18</v>
      </c>
      <c r="B12" s="75" t="s">
        <v>102</v>
      </c>
      <c r="C12" s="75" t="s">
        <v>103</v>
      </c>
      <c r="D12" s="78" t="s">
        <v>104</v>
      </c>
      <c r="E12" s="79" t="s">
        <v>105</v>
      </c>
      <c r="F12" s="80" t="s">
        <v>33</v>
      </c>
      <c r="G12" s="130">
        <v>1059</v>
      </c>
      <c r="H12" s="102">
        <f t="shared" si="1"/>
        <v>105.9</v>
      </c>
      <c r="I12" s="65"/>
      <c r="K12" s="75" t="s">
        <v>14</v>
      </c>
      <c r="L12" s="75" t="s">
        <v>106</v>
      </c>
      <c r="M12" s="76" t="s">
        <v>107</v>
      </c>
      <c r="N12" s="76"/>
      <c r="O12" s="76" t="s">
        <v>108</v>
      </c>
      <c r="P12" s="77" t="s">
        <v>31</v>
      </c>
      <c r="Q12" s="80">
        <v>2000000</v>
      </c>
      <c r="R12" s="81">
        <v>5.2200000000000003E-2</v>
      </c>
      <c r="S12" s="105">
        <f>Table25[[#This Row],[Volumes (Qty/pcs)]]*Table25[[#This Row],[Price/Unit]]</f>
        <v>104400</v>
      </c>
      <c r="T12" s="105">
        <f>IF(P12="Low",S12*$N$3,
IF(P12="Medium",S12*$N$2,
IF(P12="High",S12*$N$1,"")))</f>
        <v>52200</v>
      </c>
      <c r="U12" s="77" t="s">
        <v>59</v>
      </c>
      <c r="V12" s="93" t="s">
        <v>109</v>
      </c>
      <c r="W12" s="79" t="s">
        <v>110</v>
      </c>
      <c r="X12"/>
    </row>
    <row r="13" spans="1:24" ht="60">
      <c r="A13" s="60"/>
      <c r="B13" s="60"/>
      <c r="C13" s="60"/>
      <c r="D13" s="63"/>
      <c r="E13" s="111"/>
      <c r="F13" s="80"/>
      <c r="G13" s="130"/>
      <c r="H13" s="102"/>
      <c r="I13" s="65"/>
      <c r="K13" s="75" t="s">
        <v>14</v>
      </c>
      <c r="L13" s="75" t="s">
        <v>106</v>
      </c>
      <c r="M13" s="76" t="s">
        <v>111</v>
      </c>
      <c r="N13" s="76"/>
      <c r="O13" s="76" t="s">
        <v>112</v>
      </c>
      <c r="P13" s="77" t="s">
        <v>31</v>
      </c>
      <c r="Q13" s="80">
        <v>1000000</v>
      </c>
      <c r="R13" s="81">
        <v>5.6000000000000001E-2</v>
      </c>
      <c r="S13" s="105">
        <f>Table25[[#This Row],[Volumes (Qty/pcs)]]*Table25[[#This Row],[Price/Unit]]</f>
        <v>56000</v>
      </c>
      <c r="T13" s="105">
        <f t="shared" si="0"/>
        <v>28000</v>
      </c>
      <c r="U13" s="77" t="s">
        <v>113</v>
      </c>
      <c r="V13" s="93" t="s">
        <v>114</v>
      </c>
      <c r="W13" s="79"/>
      <c r="X13"/>
    </row>
    <row r="14" spans="1:24" ht="75">
      <c r="A14" s="60" t="s">
        <v>12</v>
      </c>
      <c r="B14" s="61" t="s">
        <v>115</v>
      </c>
      <c r="C14" s="60" t="s">
        <v>116</v>
      </c>
      <c r="D14" s="61" t="s">
        <v>117</v>
      </c>
      <c r="E14" s="61" t="s">
        <v>118</v>
      </c>
      <c r="F14" s="77" t="s">
        <v>29</v>
      </c>
      <c r="G14" s="130">
        <f>460000*0.21</f>
        <v>96600</v>
      </c>
      <c r="H14" s="102">
        <f t="shared" si="1"/>
        <v>67620</v>
      </c>
      <c r="I14" s="56"/>
      <c r="K14" s="146"/>
      <c r="L14" s="146"/>
      <c r="M14" s="146"/>
      <c r="N14" s="146"/>
      <c r="O14" s="147"/>
      <c r="P14" s="148"/>
      <c r="Q14" s="149"/>
      <c r="R14" s="150"/>
      <c r="S14" s="151"/>
      <c r="T14" s="151"/>
      <c r="U14" s="148"/>
      <c r="V14" s="152"/>
      <c r="W14" s="109"/>
      <c r="X14"/>
    </row>
    <row r="15" spans="1:24" s="145" customFormat="1" ht="45">
      <c r="A15" s="141" t="s">
        <v>12</v>
      </c>
      <c r="B15" s="141" t="s">
        <v>119</v>
      </c>
      <c r="C15" s="141" t="s">
        <v>89</v>
      </c>
      <c r="D15" s="142" t="s">
        <v>120</v>
      </c>
      <c r="E15" s="141"/>
      <c r="F15" s="148" t="s">
        <v>29</v>
      </c>
      <c r="G15" s="130">
        <f>1500000*0.0595</f>
        <v>89250</v>
      </c>
      <c r="H15" s="102">
        <f t="shared" si="1"/>
        <v>62474.999999999993</v>
      </c>
      <c r="I15" s="144"/>
      <c r="K15" s="75" t="s">
        <v>121</v>
      </c>
      <c r="L15" s="75" t="s">
        <v>122</v>
      </c>
      <c r="M15" s="75" t="s">
        <v>123</v>
      </c>
      <c r="N15" s="75"/>
      <c r="O15" s="75" t="s">
        <v>124</v>
      </c>
      <c r="P15" s="77" t="s">
        <v>33</v>
      </c>
      <c r="Q15" s="80">
        <v>3000000</v>
      </c>
      <c r="R15" s="81">
        <v>2.9000000000000001E-2</v>
      </c>
      <c r="S15" s="105">
        <f>Table25[[#This Row],[Volumes (Qty/pcs)]]*Table25[[#This Row],[Price/Unit]]</f>
        <v>87000</v>
      </c>
      <c r="T15" s="105">
        <f t="shared" si="0"/>
        <v>8700</v>
      </c>
      <c r="U15" s="77" t="s">
        <v>95</v>
      </c>
      <c r="V15" s="93" t="s">
        <v>125</v>
      </c>
      <c r="W15" s="153"/>
    </row>
    <row r="16" spans="1:24" ht="47.1" customHeight="1">
      <c r="A16" s="60"/>
      <c r="B16" s="60"/>
      <c r="C16" s="60"/>
      <c r="D16" s="60"/>
      <c r="E16" s="60"/>
      <c r="F16" s="77"/>
      <c r="G16" s="199"/>
      <c r="H16" s="102"/>
      <c r="I16" s="62"/>
      <c r="K16" s="75"/>
      <c r="L16" s="75"/>
      <c r="M16" s="75"/>
      <c r="N16" s="75"/>
      <c r="O16" s="76"/>
      <c r="P16" s="77"/>
      <c r="Q16" s="80"/>
      <c r="R16" s="81"/>
      <c r="S16" s="105"/>
      <c r="T16" s="105"/>
      <c r="U16" s="77"/>
      <c r="V16" s="93"/>
      <c r="W16" s="79" t="s">
        <v>126</v>
      </c>
      <c r="X16"/>
    </row>
    <row r="17" spans="1:24" ht="105">
      <c r="A17" s="60"/>
      <c r="B17" s="60"/>
      <c r="C17" s="60"/>
      <c r="D17" s="60"/>
      <c r="E17" s="60"/>
      <c r="F17" s="42"/>
      <c r="G17" s="129"/>
      <c r="H17" s="143"/>
      <c r="I17" s="69"/>
      <c r="K17" s="75" t="s">
        <v>20</v>
      </c>
      <c r="L17" s="75" t="s">
        <v>84</v>
      </c>
      <c r="M17" s="75" t="s">
        <v>66</v>
      </c>
      <c r="N17" s="75"/>
      <c r="O17" s="76" t="s">
        <v>127</v>
      </c>
      <c r="P17" s="77" t="s">
        <v>33</v>
      </c>
      <c r="Q17" s="80">
        <v>2000</v>
      </c>
      <c r="R17" s="81">
        <v>2.5</v>
      </c>
      <c r="S17" s="105">
        <f>Table25[[#This Row],[Volumes (Qty/pcs)]]*Table25[[#This Row],[Price/Unit]]</f>
        <v>5000</v>
      </c>
      <c r="T17" s="105">
        <f t="shared" si="0"/>
        <v>500</v>
      </c>
      <c r="U17" s="77" t="s">
        <v>59</v>
      </c>
      <c r="V17" s="93" t="s">
        <v>128</v>
      </c>
      <c r="W17" s="112"/>
      <c r="X17"/>
    </row>
    <row r="18" spans="1:24" ht="30">
      <c r="F18" s="68" t="s">
        <v>24</v>
      </c>
      <c r="G18" s="131">
        <f>SUM(Table2[K$ Rev Impact])</f>
        <v>1295635.5324599999</v>
      </c>
      <c r="H18" s="131">
        <f>SUM(Table2[K$ Weighted Rev])</f>
        <v>886914.16622999997</v>
      </c>
      <c r="K18" s="75" t="s">
        <v>20</v>
      </c>
      <c r="L18" s="75" t="s">
        <v>129</v>
      </c>
      <c r="M18" s="75" t="s">
        <v>66</v>
      </c>
      <c r="N18" s="75"/>
      <c r="O18" s="75" t="s">
        <v>130</v>
      </c>
      <c r="P18" s="77" t="s">
        <v>31</v>
      </c>
      <c r="Q18" s="80">
        <v>6000</v>
      </c>
      <c r="R18" s="81">
        <v>3.8584999999999998</v>
      </c>
      <c r="S18" s="105">
        <f>Table25[[#This Row],[Volumes (Qty/pcs)]]*Table25[[#This Row],[Price/Unit]]</f>
        <v>23151</v>
      </c>
      <c r="T18" s="105">
        <f t="shared" si="0"/>
        <v>11575.5</v>
      </c>
      <c r="U18" s="77" t="s">
        <v>59</v>
      </c>
      <c r="V18" s="93" t="s">
        <v>131</v>
      </c>
      <c r="W18" s="109"/>
      <c r="X18"/>
    </row>
    <row r="19" spans="1:24">
      <c r="F19" s="57"/>
      <c r="G19" s="57"/>
      <c r="K19" s="75"/>
      <c r="L19" s="75"/>
      <c r="M19" s="75"/>
      <c r="N19" s="75"/>
      <c r="O19" s="75"/>
      <c r="P19" s="77"/>
      <c r="Q19" s="80"/>
      <c r="R19" s="81"/>
      <c r="S19" s="105"/>
      <c r="T19" s="105"/>
      <c r="U19" s="77"/>
      <c r="V19" s="95"/>
      <c r="W19" s="109"/>
      <c r="X19"/>
    </row>
    <row r="20" spans="1:24" s="60" customFormat="1" ht="90">
      <c r="A20"/>
      <c r="B20"/>
      <c r="C20"/>
      <c r="D20"/>
      <c r="E20"/>
      <c r="F20" s="57"/>
      <c r="G20" s="57"/>
      <c r="H20"/>
      <c r="I20"/>
      <c r="K20" s="75" t="s">
        <v>22</v>
      </c>
      <c r="L20" s="75" t="s">
        <v>132</v>
      </c>
      <c r="M20" s="75" t="s">
        <v>133</v>
      </c>
      <c r="N20" s="75"/>
      <c r="O20" s="75" t="s">
        <v>134</v>
      </c>
      <c r="P20" s="77" t="s">
        <v>31</v>
      </c>
      <c r="Q20" s="80">
        <v>140000</v>
      </c>
      <c r="R20" s="81">
        <v>0.28000000000000003</v>
      </c>
      <c r="S20" s="105">
        <f>Table25[[#This Row],[Volumes (Qty/pcs)]]*Table25[[#This Row],[Price/Unit]]</f>
        <v>39200.000000000007</v>
      </c>
      <c r="T20" s="105">
        <f>IF(P20="Low",S20*$N$3,
IF(P20="Medium",S20*$N$2,
IF(P20="High",S20*$N$1,"")))</f>
        <v>19600.000000000004</v>
      </c>
      <c r="U20" s="77" t="s">
        <v>135</v>
      </c>
      <c r="V20" s="93" t="s">
        <v>136</v>
      </c>
      <c r="W20" s="109"/>
    </row>
    <row r="21" spans="1:24" ht="120">
      <c r="K21" s="75" t="s">
        <v>22</v>
      </c>
      <c r="L21" s="75" t="s">
        <v>137</v>
      </c>
      <c r="M21" s="75" t="s">
        <v>138</v>
      </c>
      <c r="N21" s="75"/>
      <c r="O21" s="75" t="s">
        <v>139</v>
      </c>
      <c r="P21" s="77" t="s">
        <v>33</v>
      </c>
      <c r="Q21" s="80">
        <v>100000</v>
      </c>
      <c r="R21" s="81">
        <v>0.2</v>
      </c>
      <c r="S21" s="105">
        <f>Table25[[#This Row],[Volumes (Qty/pcs)]]*Table25[[#This Row],[Price/Unit]]</f>
        <v>20000</v>
      </c>
      <c r="T21" s="105">
        <f t="shared" si="0"/>
        <v>2000</v>
      </c>
      <c r="U21" s="77" t="s">
        <v>140</v>
      </c>
      <c r="V21" s="93" t="s">
        <v>141</v>
      </c>
      <c r="W21" s="109"/>
      <c r="X21"/>
    </row>
    <row r="22" spans="1:24" ht="240">
      <c r="K22" s="75" t="s">
        <v>22</v>
      </c>
      <c r="L22" s="75" t="s">
        <v>142</v>
      </c>
      <c r="M22" s="75" t="s">
        <v>53</v>
      </c>
      <c r="N22" s="75"/>
      <c r="O22" s="76" t="s">
        <v>143</v>
      </c>
      <c r="P22" s="77" t="s">
        <v>33</v>
      </c>
      <c r="Q22" s="80">
        <v>3000000</v>
      </c>
      <c r="R22" s="81">
        <v>5.8799999999999998E-2</v>
      </c>
      <c r="S22" s="105">
        <f>Table25[[#This Row],[Volumes (Qty/pcs)]]*Table25[[#This Row],[Price/Unit]]</f>
        <v>176400</v>
      </c>
      <c r="T22" s="105">
        <f t="shared" si="0"/>
        <v>17640</v>
      </c>
      <c r="U22" s="77" t="s">
        <v>144</v>
      </c>
      <c r="V22" s="95" t="s">
        <v>145</v>
      </c>
      <c r="W22" s="79" t="s">
        <v>146</v>
      </c>
      <c r="X22"/>
    </row>
    <row r="23" spans="1:24" ht="150">
      <c r="K23" s="75" t="s">
        <v>22</v>
      </c>
      <c r="L23" s="75" t="s">
        <v>142</v>
      </c>
      <c r="M23" s="75" t="s">
        <v>138</v>
      </c>
      <c r="N23" s="75"/>
      <c r="O23" s="76" t="s">
        <v>147</v>
      </c>
      <c r="P23" s="77" t="s">
        <v>33</v>
      </c>
      <c r="Q23" s="80">
        <v>5000000</v>
      </c>
      <c r="R23" s="81">
        <v>7.3510000000000006E-2</v>
      </c>
      <c r="S23" s="105">
        <f>Table25[[#This Row],[Volumes (Qty/pcs)]]*Table25[[#This Row],[Price/Unit]]</f>
        <v>367550.00000000006</v>
      </c>
      <c r="T23" s="105">
        <f t="shared" si="0"/>
        <v>36755.000000000007</v>
      </c>
      <c r="U23" s="77" t="s">
        <v>144</v>
      </c>
      <c r="V23" s="95" t="s">
        <v>148</v>
      </c>
      <c r="W23" s="79" t="s">
        <v>149</v>
      </c>
      <c r="X23"/>
    </row>
    <row r="24" spans="1:24" ht="135">
      <c r="K24" s="75" t="s">
        <v>22</v>
      </c>
      <c r="L24" s="75" t="s">
        <v>142</v>
      </c>
      <c r="M24" s="75" t="s">
        <v>103</v>
      </c>
      <c r="N24" s="75"/>
      <c r="O24" s="75" t="s">
        <v>147</v>
      </c>
      <c r="P24" s="77" t="s">
        <v>33</v>
      </c>
      <c r="Q24" s="80">
        <v>3500000</v>
      </c>
      <c r="R24" s="81">
        <v>8.7499999999999994E-2</v>
      </c>
      <c r="S24" s="105">
        <f>Table25[[#This Row],[Volumes (Qty/pcs)]]*Table25[[#This Row],[Price/Unit]]</f>
        <v>306250</v>
      </c>
      <c r="T24" s="105">
        <f t="shared" si="0"/>
        <v>30625</v>
      </c>
      <c r="U24" s="77" t="s">
        <v>144</v>
      </c>
      <c r="V24" s="95" t="s">
        <v>150</v>
      </c>
      <c r="W24" s="79" t="s">
        <v>151</v>
      </c>
      <c r="X24"/>
    </row>
    <row r="25" spans="1:24" ht="150">
      <c r="K25" s="75" t="s">
        <v>22</v>
      </c>
      <c r="L25" s="75" t="s">
        <v>152</v>
      </c>
      <c r="M25" s="75" t="s">
        <v>53</v>
      </c>
      <c r="N25" s="75"/>
      <c r="O25" s="76" t="s">
        <v>153</v>
      </c>
      <c r="P25" s="77" t="s">
        <v>31</v>
      </c>
      <c r="Q25" s="80">
        <v>1000000</v>
      </c>
      <c r="R25" s="81">
        <v>0.08</v>
      </c>
      <c r="S25" s="105">
        <f>Table25[[#This Row],[Volumes (Qty/pcs)]]*Table25[[#This Row],[Price/Unit]]</f>
        <v>80000</v>
      </c>
      <c r="T25" s="105">
        <f t="shared" si="0"/>
        <v>40000</v>
      </c>
      <c r="U25" s="77" t="s">
        <v>144</v>
      </c>
      <c r="V25" s="93" t="s">
        <v>154</v>
      </c>
      <c r="W25" s="79"/>
      <c r="X25"/>
    </row>
    <row r="26" spans="1:24" ht="75">
      <c r="K26" s="75" t="s">
        <v>22</v>
      </c>
      <c r="L26" s="75" t="s">
        <v>152</v>
      </c>
      <c r="M26" s="75" t="s">
        <v>116</v>
      </c>
      <c r="N26" s="75"/>
      <c r="O26" s="75" t="s">
        <v>155</v>
      </c>
      <c r="P26" s="77" t="s">
        <v>29</v>
      </c>
      <c r="Q26" s="80">
        <v>400000</v>
      </c>
      <c r="R26" s="81">
        <v>0.2</v>
      </c>
      <c r="S26" s="105">
        <f>Table25[[#This Row],[Volumes (Qty/pcs)]]*Table25[[#This Row],[Price/Unit]]</f>
        <v>80000</v>
      </c>
      <c r="T26" s="105">
        <f t="shared" si="0"/>
        <v>56000</v>
      </c>
      <c r="U26" s="77" t="s">
        <v>140</v>
      </c>
      <c r="V26" s="93" t="s">
        <v>156</v>
      </c>
      <c r="W26" s="79" t="s">
        <v>157</v>
      </c>
      <c r="X26"/>
    </row>
    <row r="27" spans="1:24" ht="105">
      <c r="K27" s="75" t="s">
        <v>22</v>
      </c>
      <c r="L27" s="75" t="s">
        <v>158</v>
      </c>
      <c r="M27" s="75" t="s">
        <v>80</v>
      </c>
      <c r="N27" s="75"/>
      <c r="O27" s="75" t="s">
        <v>159</v>
      </c>
      <c r="P27" s="77" t="s">
        <v>29</v>
      </c>
      <c r="Q27" s="80">
        <v>11500</v>
      </c>
      <c r="R27" s="81">
        <v>0.28849999999999998</v>
      </c>
      <c r="S27" s="105">
        <f>Table25[[#This Row],[Volumes (Qty/pcs)]]*Table25[[#This Row],[Price/Unit]]</f>
        <v>3317.7499999999995</v>
      </c>
      <c r="T27" s="105">
        <f t="shared" si="0"/>
        <v>2322.4249999999997</v>
      </c>
      <c r="U27" s="77" t="s">
        <v>135</v>
      </c>
      <c r="V27" s="93" t="s">
        <v>160</v>
      </c>
      <c r="W27" s="110"/>
      <c r="X27"/>
    </row>
    <row r="28" spans="1:24" ht="105">
      <c r="K28" s="75" t="s">
        <v>22</v>
      </c>
      <c r="L28" s="75" t="s">
        <v>161</v>
      </c>
      <c r="M28" s="75" t="s">
        <v>116</v>
      </c>
      <c r="N28" s="75"/>
      <c r="O28" s="75" t="s">
        <v>159</v>
      </c>
      <c r="P28" s="77" t="s">
        <v>29</v>
      </c>
      <c r="Q28" s="80">
        <v>11500</v>
      </c>
      <c r="R28" s="81">
        <v>0.30990000000000001</v>
      </c>
      <c r="S28" s="105">
        <f>Table25[[#This Row],[Volumes (Qty/pcs)]]*Table25[[#This Row],[Price/Unit]]</f>
        <v>3563.85</v>
      </c>
      <c r="T28" s="105">
        <f t="shared" si="0"/>
        <v>2494.6949999999997</v>
      </c>
      <c r="U28" s="77" t="s">
        <v>135</v>
      </c>
      <c r="V28" s="93" t="s">
        <v>162</v>
      </c>
      <c r="W28" s="109"/>
      <c r="X28"/>
    </row>
    <row r="29" spans="1:24">
      <c r="K29" s="75"/>
      <c r="L29" s="75"/>
      <c r="M29" s="75"/>
      <c r="N29" s="75"/>
      <c r="O29" s="75"/>
      <c r="P29" s="77"/>
      <c r="Q29" s="80"/>
      <c r="R29" s="81"/>
      <c r="S29" s="105"/>
      <c r="T29" s="105"/>
      <c r="U29" s="77"/>
      <c r="V29" s="93"/>
      <c r="W29" s="109"/>
      <c r="X29"/>
    </row>
    <row r="30" spans="1:24" ht="105">
      <c r="K30" s="75" t="s">
        <v>22</v>
      </c>
      <c r="L30" s="75" t="s">
        <v>163</v>
      </c>
      <c r="M30" s="75" t="s">
        <v>138</v>
      </c>
      <c r="N30" s="75"/>
      <c r="O30" s="76" t="s">
        <v>164</v>
      </c>
      <c r="P30" s="77" t="s">
        <v>29</v>
      </c>
      <c r="Q30" s="80">
        <v>140000</v>
      </c>
      <c r="R30" s="81">
        <v>0.1</v>
      </c>
      <c r="S30" s="105">
        <f>Table25[[#This Row],[Volumes (Qty/pcs)]]*Table25[[#This Row],[Price/Unit]]</f>
        <v>14000</v>
      </c>
      <c r="T30" s="105">
        <f t="shared" si="0"/>
        <v>9800</v>
      </c>
      <c r="U30" s="77" t="s">
        <v>165</v>
      </c>
      <c r="V30" s="93" t="s">
        <v>166</v>
      </c>
      <c r="W30" s="79"/>
      <c r="X30"/>
    </row>
    <row r="31" spans="1:24" ht="360">
      <c r="K31" s="75" t="s">
        <v>18</v>
      </c>
      <c r="L31" s="75" t="s">
        <v>167</v>
      </c>
      <c r="M31" s="75" t="s">
        <v>168</v>
      </c>
      <c r="N31" s="75"/>
      <c r="O31" s="78" t="s">
        <v>169</v>
      </c>
      <c r="P31" s="77" t="s">
        <v>33</v>
      </c>
      <c r="Q31" s="80">
        <v>10000</v>
      </c>
      <c r="R31" s="81">
        <v>2.2050000000000001</v>
      </c>
      <c r="S31" s="105">
        <f>Table25[[#This Row],[Volumes (Qty/pcs)]]*Table25[[#This Row],[Price/Unit]]</f>
        <v>22050</v>
      </c>
      <c r="T31" s="105">
        <f t="shared" si="0"/>
        <v>2205</v>
      </c>
      <c r="U31" s="77" t="s">
        <v>72</v>
      </c>
      <c r="V31" s="93" t="s">
        <v>170</v>
      </c>
      <c r="W31" s="109"/>
      <c r="X31"/>
    </row>
    <row r="32" spans="1:24" ht="320.45" customHeight="1">
      <c r="K32" s="75"/>
      <c r="L32" s="75"/>
      <c r="M32" s="75"/>
      <c r="N32" s="75"/>
      <c r="O32" s="75"/>
      <c r="P32" s="77"/>
      <c r="Q32" s="80"/>
      <c r="R32" s="81"/>
      <c r="S32" s="105"/>
      <c r="T32" s="105"/>
      <c r="U32" s="77"/>
      <c r="V32" s="93"/>
      <c r="W32" s="79"/>
      <c r="X32"/>
    </row>
    <row r="33" spans="1:25" ht="75">
      <c r="K33" s="75" t="s">
        <v>18</v>
      </c>
      <c r="L33" s="75" t="s">
        <v>171</v>
      </c>
      <c r="M33" s="75" t="s">
        <v>172</v>
      </c>
      <c r="N33" s="75"/>
      <c r="O33" s="76" t="s">
        <v>173</v>
      </c>
      <c r="P33" s="77" t="s">
        <v>33</v>
      </c>
      <c r="Q33" s="80">
        <v>10000</v>
      </c>
      <c r="R33" s="81">
        <v>1.8</v>
      </c>
      <c r="S33" s="105">
        <f>Table25[[#This Row],[Volumes (Qty/pcs)]]*Table25[[#This Row],[Price/Unit]]</f>
        <v>18000</v>
      </c>
      <c r="T33" s="105">
        <f t="shared" si="0"/>
        <v>1800</v>
      </c>
      <c r="U33" s="77" t="s">
        <v>174</v>
      </c>
      <c r="V33" s="93" t="s">
        <v>175</v>
      </c>
      <c r="W33" s="109"/>
      <c r="X33"/>
    </row>
    <row r="34" spans="1:25" ht="150">
      <c r="I34" s="60"/>
      <c r="K34" s="75" t="s">
        <v>18</v>
      </c>
      <c r="L34" s="75" t="s">
        <v>176</v>
      </c>
      <c r="M34" s="75" t="s">
        <v>177</v>
      </c>
      <c r="N34" s="75"/>
      <c r="O34" s="76" t="s">
        <v>178</v>
      </c>
      <c r="P34" s="77" t="s">
        <v>33</v>
      </c>
      <c r="Q34" s="80">
        <v>500000</v>
      </c>
      <c r="R34" s="81">
        <v>0.2</v>
      </c>
      <c r="S34" s="105">
        <f>Table25[[#This Row],[Volumes (Qty/pcs)]]*Table25[[#This Row],[Price/Unit]]</f>
        <v>100000</v>
      </c>
      <c r="T34" s="105">
        <f t="shared" si="0"/>
        <v>10000</v>
      </c>
      <c r="U34" s="77" t="s">
        <v>95</v>
      </c>
      <c r="V34" s="93" t="s">
        <v>179</v>
      </c>
      <c r="W34" s="109"/>
      <c r="X34"/>
    </row>
    <row r="35" spans="1:25" ht="45">
      <c r="A35" s="60"/>
      <c r="B35" s="60"/>
      <c r="C35" s="60"/>
      <c r="D35" s="60"/>
      <c r="E35" s="60"/>
      <c r="F35" s="60"/>
      <c r="G35" s="60"/>
      <c r="H35" s="60"/>
      <c r="K35" s="75" t="s">
        <v>18</v>
      </c>
      <c r="L35" s="75" t="s">
        <v>180</v>
      </c>
      <c r="M35" s="75" t="s">
        <v>172</v>
      </c>
      <c r="N35" s="75"/>
      <c r="O35" s="75" t="s">
        <v>181</v>
      </c>
      <c r="P35" s="77" t="s">
        <v>31</v>
      </c>
      <c r="Q35" s="80">
        <v>50000</v>
      </c>
      <c r="R35" s="81">
        <v>2.145</v>
      </c>
      <c r="S35" s="105">
        <f>Table25[[#This Row],[Volumes (Qty/pcs)]]*Table25[[#This Row],[Price/Unit]]</f>
        <v>107250</v>
      </c>
      <c r="T35" s="105">
        <f t="shared" si="0"/>
        <v>53625</v>
      </c>
      <c r="U35" s="77" t="s">
        <v>174</v>
      </c>
      <c r="V35" s="93" t="s">
        <v>182</v>
      </c>
      <c r="W35" s="109"/>
      <c r="X35"/>
    </row>
    <row r="36" spans="1:25" ht="45">
      <c r="K36" s="75" t="s">
        <v>18</v>
      </c>
      <c r="L36" s="75" t="s">
        <v>180</v>
      </c>
      <c r="M36" s="75" t="s">
        <v>172</v>
      </c>
      <c r="N36" s="75"/>
      <c r="O36" s="75" t="s">
        <v>183</v>
      </c>
      <c r="P36" s="77" t="s">
        <v>31</v>
      </c>
      <c r="Q36" s="80">
        <v>600000</v>
      </c>
      <c r="R36" s="81">
        <v>2.2582</v>
      </c>
      <c r="S36" s="105">
        <f>Table25[[#This Row],[Volumes (Qty/pcs)]]*Table25[[#This Row],[Price/Unit]]</f>
        <v>1354920</v>
      </c>
      <c r="T36" s="105">
        <f t="shared" si="0"/>
        <v>677460</v>
      </c>
      <c r="U36" s="77" t="s">
        <v>174</v>
      </c>
      <c r="V36" s="93" t="s">
        <v>182</v>
      </c>
      <c r="W36" s="109"/>
      <c r="X36"/>
    </row>
    <row r="37" spans="1:25" ht="45">
      <c r="K37" s="75" t="s">
        <v>18</v>
      </c>
      <c r="L37" s="75" t="s">
        <v>180</v>
      </c>
      <c r="M37" s="75" t="s">
        <v>172</v>
      </c>
      <c r="N37" s="75"/>
      <c r="O37" s="75" t="s">
        <v>184</v>
      </c>
      <c r="P37" s="77" t="s">
        <v>31</v>
      </c>
      <c r="Q37" s="80">
        <v>90000</v>
      </c>
      <c r="R37" s="81">
        <v>1.95</v>
      </c>
      <c r="S37" s="105">
        <f>Table25[[#This Row],[Volumes (Qty/pcs)]]*Table25[[#This Row],[Price/Unit]]</f>
        <v>175500</v>
      </c>
      <c r="T37" s="105">
        <f t="shared" si="0"/>
        <v>87750</v>
      </c>
      <c r="U37" s="77" t="s">
        <v>174</v>
      </c>
      <c r="V37" s="93" t="s">
        <v>182</v>
      </c>
      <c r="W37" s="109"/>
      <c r="X37"/>
    </row>
    <row r="38" spans="1:25" ht="45">
      <c r="K38" s="75" t="s">
        <v>18</v>
      </c>
      <c r="L38" s="75" t="s">
        <v>180</v>
      </c>
      <c r="M38" s="75" t="s">
        <v>185</v>
      </c>
      <c r="N38" s="75"/>
      <c r="O38" s="75" t="s">
        <v>186</v>
      </c>
      <c r="P38" s="77" t="s">
        <v>31</v>
      </c>
      <c r="Q38" s="80">
        <v>300000</v>
      </c>
      <c r="R38" s="81">
        <v>0.95</v>
      </c>
      <c r="S38" s="105">
        <f>Table25[[#This Row],[Volumes (Qty/pcs)]]*Table25[[#This Row],[Price/Unit]]</f>
        <v>285000</v>
      </c>
      <c r="T38" s="105">
        <f t="shared" si="0"/>
        <v>142500</v>
      </c>
      <c r="U38" s="77" t="s">
        <v>174</v>
      </c>
      <c r="V38" s="93" t="s">
        <v>182</v>
      </c>
      <c r="W38" s="109"/>
      <c r="X38"/>
    </row>
    <row r="39" spans="1:25" ht="165">
      <c r="K39" s="75" t="s">
        <v>20</v>
      </c>
      <c r="L39" s="75" t="s">
        <v>187</v>
      </c>
      <c r="M39" s="75" t="s">
        <v>188</v>
      </c>
      <c r="N39" s="75"/>
      <c r="O39" s="75" t="s">
        <v>189</v>
      </c>
      <c r="P39" s="77" t="s">
        <v>31</v>
      </c>
      <c r="Q39" s="80">
        <v>200000</v>
      </c>
      <c r="R39" s="81">
        <v>1.7</v>
      </c>
      <c r="S39" s="105">
        <f>Table25[[#This Row],[Volumes (Qty/pcs)]]*Table25[[#This Row],[Price/Unit]]</f>
        <v>340000</v>
      </c>
      <c r="T39" s="105">
        <f t="shared" si="0"/>
        <v>170000</v>
      </c>
      <c r="U39" s="77" t="s">
        <v>174</v>
      </c>
      <c r="V39" s="93" t="s">
        <v>190</v>
      </c>
      <c r="W39" s="109"/>
      <c r="X39"/>
    </row>
    <row r="40" spans="1:25" ht="75">
      <c r="K40" s="75" t="s">
        <v>20</v>
      </c>
      <c r="L40" s="75" t="s">
        <v>75</v>
      </c>
      <c r="M40" s="75" t="s">
        <v>191</v>
      </c>
      <c r="N40" s="75"/>
      <c r="O40" s="75" t="s">
        <v>192</v>
      </c>
      <c r="P40" s="77" t="s">
        <v>33</v>
      </c>
      <c r="Q40" s="80">
        <v>3500000</v>
      </c>
      <c r="R40" s="81">
        <v>4.8000000000000001E-2</v>
      </c>
      <c r="S40" s="105">
        <f>Table25[[#This Row],[Volumes (Qty/pcs)]]*Table25[[#This Row],[Price/Unit]]</f>
        <v>168000</v>
      </c>
      <c r="T40" s="105">
        <f t="shared" si="0"/>
        <v>16800</v>
      </c>
      <c r="U40" s="77" t="s">
        <v>95</v>
      </c>
      <c r="V40" s="93" t="s">
        <v>193</v>
      </c>
      <c r="W40" s="109"/>
      <c r="X40"/>
    </row>
    <row r="41" spans="1:25" ht="120">
      <c r="K41" s="75" t="s">
        <v>20</v>
      </c>
      <c r="L41" s="75" t="s">
        <v>194</v>
      </c>
      <c r="M41" s="75" t="s">
        <v>195</v>
      </c>
      <c r="N41" s="75"/>
      <c r="O41" s="76" t="s">
        <v>196</v>
      </c>
      <c r="P41" s="77" t="s">
        <v>33</v>
      </c>
      <c r="Q41" s="80">
        <v>3000</v>
      </c>
      <c r="R41" s="81">
        <v>0.83150000000000002</v>
      </c>
      <c r="S41" s="105">
        <f>Table25[[#This Row],[Volumes (Qty/pcs)]]*Table25[[#This Row],[Price/Unit]]</f>
        <v>2494.5</v>
      </c>
      <c r="T41" s="105">
        <f t="shared" si="0"/>
        <v>249.45000000000002</v>
      </c>
      <c r="U41" s="77" t="s">
        <v>144</v>
      </c>
      <c r="V41" s="93" t="s">
        <v>197</v>
      </c>
      <c r="W41" s="79"/>
      <c r="X41"/>
    </row>
    <row r="42" spans="1:25">
      <c r="K42" s="75" t="s">
        <v>20</v>
      </c>
      <c r="L42" s="75" t="s">
        <v>198</v>
      </c>
      <c r="M42" s="75" t="s">
        <v>199</v>
      </c>
      <c r="N42" s="75"/>
      <c r="O42" s="75"/>
      <c r="P42" s="77" t="s">
        <v>31</v>
      </c>
      <c r="Q42" s="80">
        <v>6000</v>
      </c>
      <c r="R42" s="81">
        <v>0.4</v>
      </c>
      <c r="S42" s="105">
        <f>Table25[[#This Row],[Volumes (Qty/pcs)]]*Table25[[#This Row],[Price/Unit]]</f>
        <v>2400</v>
      </c>
      <c r="T42" s="106"/>
      <c r="U42" s="77" t="s">
        <v>174</v>
      </c>
      <c r="V42" s="87" t="s">
        <v>200</v>
      </c>
      <c r="W42" s="79"/>
      <c r="X42"/>
    </row>
    <row r="43" spans="1:25">
      <c r="K43" s="75"/>
      <c r="L43" s="75"/>
      <c r="M43" s="75"/>
      <c r="N43" s="75"/>
      <c r="O43" s="75"/>
      <c r="P43" s="77"/>
      <c r="Q43" s="82" t="s">
        <v>24</v>
      </c>
      <c r="R43" s="81"/>
      <c r="S43" s="106">
        <f>SUBTOTAL(109,S6:S42)</f>
        <v>5591703.0999999996</v>
      </c>
      <c r="T43" s="106">
        <f>SUBTOTAL(109,T6:T42)</f>
        <v>1650907.67</v>
      </c>
      <c r="U43" s="77"/>
      <c r="V43" s="87"/>
      <c r="W43" s="109"/>
      <c r="X43"/>
    </row>
    <row r="44" spans="1:25">
      <c r="W44" s="109"/>
      <c r="X44"/>
      <c r="Y44" s="42"/>
    </row>
    <row r="46" spans="1:25" hidden="1"/>
  </sheetData>
  <phoneticPr fontId="10" type="noConversion"/>
  <dataValidations count="2">
    <dataValidation type="list" allowBlank="1" showInputMessage="1" showErrorMessage="1" sqref="P21:P29 P5:P19" xr:uid="{95AD6259-E4FB-4260-9304-EE68586E962E}">
      <formula1>$O$1:$O$3</formula1>
    </dataValidation>
    <dataValidation type="list" allowBlank="1" showInputMessage="1" showErrorMessage="1" sqref="F5:F17" xr:uid="{0E543EF0-2D0C-4230-A8E6-5ABD2A5C2018}">
      <formula1>$F$1:$F$3</formula1>
    </dataValidation>
  </dataValidations>
  <pageMargins left="0.7" right="0.7" top="0.75" bottom="0.75" header="0.3" footer="0.3"/>
  <pageSetup orientation="portrait"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EA08-DFCF-4B61-9E31-95D322A1468B}">
  <dimension ref="B3:I3"/>
  <sheetViews>
    <sheetView workbookViewId="0">
      <selection activeCell="J3" sqref="J3"/>
    </sheetView>
  </sheetViews>
  <sheetFormatPr defaultRowHeight="15"/>
  <sheetData>
    <row r="3" spans="2:9" ht="255">
      <c r="B3" s="202" t="s">
        <v>12</v>
      </c>
      <c r="C3" s="203" t="s">
        <v>201</v>
      </c>
      <c r="D3" s="203" t="s">
        <v>172</v>
      </c>
      <c r="E3" s="204" t="s">
        <v>202</v>
      </c>
      <c r="F3" s="205" t="s">
        <v>203</v>
      </c>
      <c r="G3" s="206" t="s">
        <v>29</v>
      </c>
      <c r="H3" s="207">
        <f>10000*1.15</f>
        <v>11500</v>
      </c>
      <c r="I3" s="208">
        <f t="shared" ref="I3" si="0">IF(G3="Low",H3*$E$3,
IF(G3="Medium",H3*$E$2,
IF(G3="High",H3*$E$1,"")))</f>
        <v>0</v>
      </c>
    </row>
  </sheetData>
  <dataValidations count="1">
    <dataValidation type="list" allowBlank="1" showInputMessage="1" showErrorMessage="1" sqref="G3" xr:uid="{5D4B924C-2BFC-47CB-9F81-7A82421FF8F8}">
      <formula1>$F$1:$F$3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10FA-AC5B-4853-BEAE-D00AF8FF86BC}">
  <dimension ref="A1"/>
  <sheetViews>
    <sheetView workbookViewId="0">
      <selection activeCell="G12" sqref="G12"/>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6122-B628-43A9-B1AF-02EE82D3F381}">
  <dimension ref="A1:I19"/>
  <sheetViews>
    <sheetView zoomScale="90" zoomScaleNormal="90" workbookViewId="0">
      <selection activeCell="B8" sqref="B8"/>
    </sheetView>
  </sheetViews>
  <sheetFormatPr defaultRowHeight="15"/>
  <cols>
    <col min="1" max="1" width="16.42578125" customWidth="1"/>
    <col min="2" max="2" width="25.28515625" customWidth="1"/>
    <col min="3" max="3" width="16.5703125" hidden="1" customWidth="1"/>
    <col min="4" max="4" width="17.140625" hidden="1" customWidth="1"/>
    <col min="5" max="5" width="16.140625" customWidth="1"/>
    <col min="6" max="6" width="19.7109375" customWidth="1"/>
    <col min="7" max="7" width="18.28515625" bestFit="1" customWidth="1"/>
    <col min="8" max="8" width="16.140625" customWidth="1"/>
    <col min="9" max="9" width="74.42578125" customWidth="1"/>
  </cols>
  <sheetData>
    <row r="1" spans="1:9">
      <c r="B1" t="s">
        <v>204</v>
      </c>
      <c r="E1" s="12" t="s">
        <v>205</v>
      </c>
      <c r="F1" s="12"/>
    </row>
    <row r="2" spans="1:9">
      <c r="B2" t="s">
        <v>206</v>
      </c>
      <c r="C2" s="23" t="s">
        <v>207</v>
      </c>
      <c r="D2" s="23" t="s">
        <v>208</v>
      </c>
      <c r="E2" t="s">
        <v>209</v>
      </c>
      <c r="F2" t="s">
        <v>210</v>
      </c>
    </row>
    <row r="3" spans="1:9">
      <c r="A3" s="8"/>
      <c r="B3" s="6"/>
      <c r="C3" s="6"/>
      <c r="D3" s="6"/>
      <c r="E3" s="7"/>
      <c r="F3" s="7"/>
      <c r="G3" s="2"/>
      <c r="H3" s="2"/>
      <c r="I3" s="2"/>
    </row>
    <row r="4" spans="1:9" ht="60">
      <c r="A4" s="9"/>
      <c r="B4" s="1" t="s">
        <v>211</v>
      </c>
      <c r="C4" s="1" t="s">
        <v>212</v>
      </c>
      <c r="D4" s="1" t="s">
        <v>212</v>
      </c>
      <c r="E4" s="11" t="s">
        <v>213</v>
      </c>
      <c r="F4" s="11" t="s">
        <v>214</v>
      </c>
      <c r="G4" s="20" t="s">
        <v>215</v>
      </c>
      <c r="H4" s="15" t="s">
        <v>216</v>
      </c>
      <c r="I4" s="17" t="s">
        <v>217</v>
      </c>
    </row>
    <row r="5" spans="1:9">
      <c r="A5" s="8" t="s">
        <v>218</v>
      </c>
      <c r="B5" s="10"/>
      <c r="C5" s="13"/>
      <c r="D5" s="13"/>
      <c r="E5" s="13"/>
      <c r="F5" s="13"/>
      <c r="G5" s="14"/>
      <c r="H5" s="16"/>
      <c r="I5" s="18"/>
    </row>
    <row r="6" spans="1:9" ht="30">
      <c r="A6" s="2" t="s">
        <v>219</v>
      </c>
      <c r="B6" s="157">
        <v>1231992.8787</v>
      </c>
      <c r="C6" s="157">
        <v>0</v>
      </c>
      <c r="D6" s="157">
        <f>3220+170660</f>
        <v>173880</v>
      </c>
      <c r="E6" s="157">
        <f>(20000*3.2571)</f>
        <v>65142</v>
      </c>
      <c r="F6" s="157">
        <f>D6+(20000*3.2571)</f>
        <v>239022</v>
      </c>
      <c r="G6" s="168">
        <f t="shared" ref="G6:G15" si="0">F6-B6</f>
        <v>-992970.8787</v>
      </c>
      <c r="H6" s="169">
        <v>0</v>
      </c>
      <c r="I6" s="21" t="s">
        <v>220</v>
      </c>
    </row>
    <row r="7" spans="1:9" ht="45">
      <c r="A7" s="2" t="s">
        <v>61</v>
      </c>
      <c r="B7" s="160">
        <v>7410711.0696999999</v>
      </c>
      <c r="C7" s="160">
        <f>935387.94+6485398.87</f>
        <v>7420786.8100000005</v>
      </c>
      <c r="D7" s="160">
        <f>935387.94+550440.86+6004563.005</f>
        <v>7490391.8049999997</v>
      </c>
      <c r="E7" s="157">
        <f>C7-(1588420*0.083)</f>
        <v>7288947.9500000002</v>
      </c>
      <c r="F7" s="157">
        <f>D7-(1588420*0.083)</f>
        <v>7358552.9449999994</v>
      </c>
      <c r="G7" s="168">
        <f t="shared" si="0"/>
        <v>-52158.12470000051</v>
      </c>
      <c r="H7" s="169">
        <v>0</v>
      </c>
      <c r="I7" s="21" t="s">
        <v>221</v>
      </c>
    </row>
    <row r="8" spans="1:9" ht="30">
      <c r="A8" s="2" t="s">
        <v>115</v>
      </c>
      <c r="B8" s="160">
        <v>415800</v>
      </c>
      <c r="C8" s="160">
        <f>60375+0</f>
        <v>60375</v>
      </c>
      <c r="D8" s="160">
        <v>60375</v>
      </c>
      <c r="E8" s="157">
        <f>(1000000*0.21)+C8</f>
        <v>270375</v>
      </c>
      <c r="F8" s="157">
        <f>D8+(460000*0.21)</f>
        <v>156975</v>
      </c>
      <c r="G8" s="168">
        <f t="shared" si="0"/>
        <v>-258825</v>
      </c>
      <c r="H8" s="169">
        <v>0</v>
      </c>
      <c r="I8" s="21" t="s">
        <v>222</v>
      </c>
    </row>
    <row r="9" spans="1:9">
      <c r="A9" s="2" t="s">
        <v>201</v>
      </c>
      <c r="B9" s="160">
        <v>685064.8139999999</v>
      </c>
      <c r="C9" s="160">
        <f>136658.55+188098.06</f>
        <v>324756.61</v>
      </c>
      <c r="D9" s="160">
        <f>81911.619+78130.3698+164714.6212</f>
        <v>324756.61</v>
      </c>
      <c r="E9" s="160">
        <f>C9+((180000*1.69)+(10000*1.24)+(3000*1.22))*1.109</f>
        <v>679924.95</v>
      </c>
      <c r="F9" s="160">
        <f>D9+((180000*1.69)+(10000*1.24)+(3000*1.22))*1.109</f>
        <v>679924.95</v>
      </c>
      <c r="G9" s="168">
        <f t="shared" si="0"/>
        <v>-5139.8639999999432</v>
      </c>
      <c r="H9" s="169">
        <f>100000*1</f>
        <v>100000</v>
      </c>
      <c r="I9" s="18" t="s">
        <v>223</v>
      </c>
    </row>
    <row r="10" spans="1:9">
      <c r="A10" s="2" t="s">
        <v>224</v>
      </c>
      <c r="B10" s="160">
        <v>75799.798740000013</v>
      </c>
      <c r="C10" s="160">
        <f>13570.74+126856.45+13272</f>
        <v>153699.19</v>
      </c>
      <c r="D10" s="160">
        <f>36298.8409+9047.162774+131404.6464</f>
        <v>176750.650074</v>
      </c>
      <c r="E10" s="160">
        <f>C10</f>
        <v>153699.19</v>
      </c>
      <c r="F10" s="160">
        <f>D10</f>
        <v>176750.650074</v>
      </c>
      <c r="G10" s="170">
        <f t="shared" si="0"/>
        <v>100950.85133399999</v>
      </c>
      <c r="H10" s="169">
        <v>0</v>
      </c>
      <c r="I10" s="18"/>
    </row>
    <row r="11" spans="1:9">
      <c r="A11" s="2" t="s">
        <v>225</v>
      </c>
      <c r="B11" s="171">
        <v>89594.12</v>
      </c>
      <c r="C11" s="171">
        <f>27000+72900</f>
        <v>99900</v>
      </c>
      <c r="D11" s="171">
        <f>19800+22800+57300</f>
        <v>99900</v>
      </c>
      <c r="E11" s="160">
        <f>C11+(4000*0.9)+(10000*1.56)</f>
        <v>119100</v>
      </c>
      <c r="F11" s="160">
        <f>D11</f>
        <v>99900</v>
      </c>
      <c r="G11" s="170">
        <f t="shared" si="0"/>
        <v>10305.880000000005</v>
      </c>
      <c r="H11" s="169">
        <v>0</v>
      </c>
      <c r="I11" s="18"/>
    </row>
    <row r="12" spans="1:9">
      <c r="A12" s="2" t="s">
        <v>226</v>
      </c>
      <c r="B12" s="171">
        <v>4791.78</v>
      </c>
      <c r="C12" s="171">
        <f>4871.55+4871.55</f>
        <v>9743.1</v>
      </c>
      <c r="D12" s="171">
        <f>4871.549+4871.549</f>
        <v>9743.098</v>
      </c>
      <c r="E12" s="160">
        <f>C12</f>
        <v>9743.1</v>
      </c>
      <c r="F12" s="160">
        <f>D12</f>
        <v>9743.098</v>
      </c>
      <c r="G12" s="170">
        <f t="shared" si="0"/>
        <v>4951.3180000000002</v>
      </c>
      <c r="H12" s="169">
        <f t="shared" ref="H12" si="1">G12*3</f>
        <v>14853.954000000002</v>
      </c>
      <c r="I12" s="18"/>
    </row>
    <row r="13" spans="1:9">
      <c r="A13" s="2" t="s">
        <v>227</v>
      </c>
      <c r="B13" s="171">
        <v>141920</v>
      </c>
      <c r="C13" s="171">
        <f>29710.8+91962+5170</f>
        <v>126842.8</v>
      </c>
      <c r="D13" s="171">
        <f>29710.8+26881.2+85430.8</f>
        <v>142022.79999999999</v>
      </c>
      <c r="E13" s="160">
        <f>C13</f>
        <v>126842.8</v>
      </c>
      <c r="F13" s="160">
        <f>D13</f>
        <v>142022.79999999999</v>
      </c>
      <c r="G13" s="170">
        <f t="shared" si="0"/>
        <v>102.79999999998836</v>
      </c>
      <c r="H13" s="169">
        <v>0</v>
      </c>
      <c r="I13" s="18"/>
    </row>
    <row r="14" spans="1:9">
      <c r="A14" s="2" t="s">
        <v>228</v>
      </c>
      <c r="B14" s="171">
        <v>27381.599999999999</v>
      </c>
      <c r="C14" s="171">
        <v>0</v>
      </c>
      <c r="D14" s="171">
        <v>0</v>
      </c>
      <c r="E14" s="160">
        <f>C14</f>
        <v>0</v>
      </c>
      <c r="F14" s="160">
        <f>D14</f>
        <v>0</v>
      </c>
      <c r="G14" s="168">
        <f t="shared" si="0"/>
        <v>-27381.599999999999</v>
      </c>
      <c r="H14" s="169">
        <v>0</v>
      </c>
      <c r="I14" s="18" t="s">
        <v>229</v>
      </c>
    </row>
    <row r="15" spans="1:9">
      <c r="A15" s="2" t="s">
        <v>230</v>
      </c>
      <c r="B15" s="171">
        <v>495840</v>
      </c>
      <c r="C15" s="171">
        <f>0+6600</f>
        <v>6600</v>
      </c>
      <c r="D15" s="171">
        <v>6600</v>
      </c>
      <c r="E15" s="160">
        <f>C15</f>
        <v>6600</v>
      </c>
      <c r="F15" s="160">
        <f>C15</f>
        <v>6600</v>
      </c>
      <c r="G15" s="168">
        <f t="shared" si="0"/>
        <v>-489240</v>
      </c>
      <c r="H15" s="169">
        <v>0</v>
      </c>
      <c r="I15" s="18"/>
    </row>
    <row r="16" spans="1:9">
      <c r="A16" s="2"/>
      <c r="B16" s="160"/>
      <c r="C16" s="160"/>
      <c r="D16" s="160"/>
      <c r="E16" s="160"/>
      <c r="F16" s="160"/>
      <c r="G16" s="158"/>
      <c r="H16" s="172"/>
      <c r="I16" s="18"/>
    </row>
    <row r="17" spans="1:9">
      <c r="A17" s="2"/>
      <c r="B17" s="160"/>
      <c r="C17" s="160"/>
      <c r="D17" s="160"/>
      <c r="E17" s="160"/>
      <c r="F17" s="160"/>
      <c r="G17" s="158"/>
      <c r="H17" s="172"/>
      <c r="I17" s="18"/>
    </row>
    <row r="18" spans="1:9">
      <c r="A18" s="2" t="s">
        <v>24</v>
      </c>
      <c r="B18" s="158">
        <f t="shared" ref="B18:H18" si="2">SUM(B6:B17)</f>
        <v>10578896.061139997</v>
      </c>
      <c r="C18" s="158">
        <f t="shared" si="2"/>
        <v>8202703.5100000007</v>
      </c>
      <c r="D18" s="158">
        <f t="shared" si="2"/>
        <v>8484419.9630740006</v>
      </c>
      <c r="E18" s="158">
        <f t="shared" si="2"/>
        <v>8720374.9900000002</v>
      </c>
      <c r="F18" s="158">
        <f t="shared" si="2"/>
        <v>8869491.4430739991</v>
      </c>
      <c r="G18" s="158">
        <f t="shared" si="2"/>
        <v>-1709404.6180660005</v>
      </c>
      <c r="H18" s="173">
        <f t="shared" si="2"/>
        <v>114853.954</v>
      </c>
    </row>
    <row r="19" spans="1:9">
      <c r="B19" s="156"/>
      <c r="C19" s="156"/>
      <c r="D19" s="156"/>
      <c r="E19" s="156"/>
      <c r="F19" s="156"/>
      <c r="G19" s="174" t="s">
        <v>231</v>
      </c>
      <c r="H19" s="175">
        <f>(G18+H18)*3</f>
        <v>-4783651.9921980016</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B3FC-B902-4AEF-8FCF-DF28C2154F16}">
  <dimension ref="A1:G23"/>
  <sheetViews>
    <sheetView zoomScale="90" zoomScaleNormal="90" workbookViewId="0">
      <selection activeCell="A11" sqref="A11:XFD11"/>
    </sheetView>
  </sheetViews>
  <sheetFormatPr defaultRowHeight="15"/>
  <cols>
    <col min="1" max="1" width="15.5703125" customWidth="1"/>
    <col min="2" max="2" width="13.42578125" customWidth="1"/>
    <col min="3" max="3" width="11.5703125" hidden="1" customWidth="1"/>
    <col min="4" max="5" width="16.42578125" customWidth="1"/>
    <col min="6" max="6" width="14.42578125" style="42" customWidth="1"/>
    <col min="7" max="7" width="84.7109375" customWidth="1"/>
  </cols>
  <sheetData>
    <row r="1" spans="1:7">
      <c r="B1" t="s">
        <v>204</v>
      </c>
    </row>
    <row r="2" spans="1:7">
      <c r="B2" t="s">
        <v>206</v>
      </c>
      <c r="C2" s="12" t="s">
        <v>232</v>
      </c>
      <c r="D2" t="s">
        <v>2</v>
      </c>
    </row>
    <row r="3" spans="1:7">
      <c r="A3" s="8"/>
      <c r="B3" s="6"/>
      <c r="C3" s="6"/>
      <c r="D3" s="7"/>
      <c r="E3" s="2"/>
      <c r="F3" s="40"/>
      <c r="G3" s="2"/>
    </row>
    <row r="4" spans="1:7" ht="60">
      <c r="A4" s="9" t="s">
        <v>233</v>
      </c>
      <c r="B4" s="8" t="s">
        <v>211</v>
      </c>
      <c r="C4" s="35" t="s">
        <v>234</v>
      </c>
      <c r="D4" s="36" t="s">
        <v>214</v>
      </c>
      <c r="E4" s="37" t="s">
        <v>235</v>
      </c>
      <c r="F4" s="38" t="s">
        <v>216</v>
      </c>
      <c r="G4" s="51" t="s">
        <v>217</v>
      </c>
    </row>
    <row r="5" spans="1:7">
      <c r="A5" s="39" t="s">
        <v>236</v>
      </c>
      <c r="B5" s="176">
        <v>184000</v>
      </c>
      <c r="C5" s="160">
        <v>325335</v>
      </c>
      <c r="D5" s="157">
        <f>C5</f>
        <v>325335</v>
      </c>
      <c r="E5" s="177">
        <f>C5-D5</f>
        <v>0</v>
      </c>
      <c r="F5" s="178">
        <v>230000</v>
      </c>
      <c r="G5" s="45" t="s">
        <v>237</v>
      </c>
    </row>
    <row r="6" spans="1:7">
      <c r="A6" s="39" t="s">
        <v>238</v>
      </c>
      <c r="B6" s="176">
        <v>137114</v>
      </c>
      <c r="C6" s="160">
        <v>123665</v>
      </c>
      <c r="D6" s="179">
        <f>C6*0.8</f>
        <v>98932</v>
      </c>
      <c r="E6" s="180">
        <f t="shared" ref="E6:E11" si="0">-(C6-D6)</f>
        <v>-24733</v>
      </c>
      <c r="F6" s="178"/>
      <c r="G6" s="45"/>
    </row>
    <row r="7" spans="1:7">
      <c r="A7" s="39" t="s">
        <v>106</v>
      </c>
      <c r="B7" s="176">
        <f>47040+52400</f>
        <v>99440</v>
      </c>
      <c r="C7" s="160">
        <v>441125</v>
      </c>
      <c r="D7" s="179">
        <f>C7</f>
        <v>441125</v>
      </c>
      <c r="E7" s="177">
        <f t="shared" si="0"/>
        <v>0</v>
      </c>
      <c r="F7" s="178">
        <v>104400</v>
      </c>
      <c r="G7" s="46" t="s">
        <v>239</v>
      </c>
    </row>
    <row r="8" spans="1:7">
      <c r="A8" s="39" t="s">
        <v>240</v>
      </c>
      <c r="B8" s="176">
        <f>58472+297990+56720</f>
        <v>413182</v>
      </c>
      <c r="C8" s="160">
        <v>199327</v>
      </c>
      <c r="D8" s="179">
        <f>C8*0.8</f>
        <v>159461.6</v>
      </c>
      <c r="E8" s="180">
        <f t="shared" si="0"/>
        <v>-39865.399999999994</v>
      </c>
      <c r="F8" s="178"/>
      <c r="G8" s="46"/>
    </row>
    <row r="9" spans="1:7">
      <c r="A9" s="39" t="s">
        <v>241</v>
      </c>
      <c r="B9" s="176">
        <v>132288</v>
      </c>
      <c r="C9" s="176">
        <v>1824</v>
      </c>
      <c r="D9" s="179">
        <f>C9</f>
        <v>1824</v>
      </c>
      <c r="E9" s="177">
        <f t="shared" si="0"/>
        <v>0</v>
      </c>
      <c r="F9" s="178">
        <v>62400</v>
      </c>
      <c r="G9" s="46" t="s">
        <v>242</v>
      </c>
    </row>
    <row r="10" spans="1:7">
      <c r="A10" s="39" t="s">
        <v>243</v>
      </c>
      <c r="B10" s="176">
        <v>54000</v>
      </c>
      <c r="C10" s="176">
        <v>20020</v>
      </c>
      <c r="D10" s="179">
        <f>C10/2</f>
        <v>10010</v>
      </c>
      <c r="E10" s="180">
        <f t="shared" si="0"/>
        <v>-10010</v>
      </c>
      <c r="F10" s="178">
        <v>11000</v>
      </c>
      <c r="G10" s="46" t="s">
        <v>244</v>
      </c>
    </row>
    <row r="11" spans="1:7">
      <c r="A11" s="39" t="s">
        <v>245</v>
      </c>
      <c r="B11" s="176">
        <v>179614</v>
      </c>
      <c r="C11" s="176">
        <v>325335</v>
      </c>
      <c r="D11" s="179">
        <f>C11*0.7</f>
        <v>227734.5</v>
      </c>
      <c r="E11" s="180">
        <f t="shared" si="0"/>
        <v>-97600.5</v>
      </c>
      <c r="F11" s="181">
        <v>600000</v>
      </c>
      <c r="G11" s="47" t="s">
        <v>246</v>
      </c>
    </row>
    <row r="12" spans="1:7">
      <c r="A12" s="39" t="s">
        <v>247</v>
      </c>
      <c r="B12" s="176">
        <v>18000</v>
      </c>
      <c r="C12" s="176" t="s">
        <v>248</v>
      </c>
      <c r="D12" s="179" t="str">
        <f>C12</f>
        <v>/</v>
      </c>
      <c r="E12" s="182"/>
      <c r="F12" s="178">
        <v>10350</v>
      </c>
      <c r="G12" s="128" t="s">
        <v>249</v>
      </c>
    </row>
    <row r="13" spans="1:7">
      <c r="A13" s="39" t="s">
        <v>250</v>
      </c>
      <c r="B13" s="176">
        <v>13000</v>
      </c>
      <c r="C13" s="176" t="s">
        <v>251</v>
      </c>
      <c r="D13" s="179" t="str">
        <f>C13</f>
        <v>/</v>
      </c>
      <c r="E13" s="182"/>
      <c r="F13" s="178">
        <v>60000</v>
      </c>
      <c r="G13" s="45" t="s">
        <v>252</v>
      </c>
    </row>
    <row r="14" spans="1:7">
      <c r="A14" s="39" t="s">
        <v>97</v>
      </c>
      <c r="B14" s="176">
        <v>25200</v>
      </c>
      <c r="C14" s="176" t="s">
        <v>251</v>
      </c>
      <c r="D14" s="179" t="str">
        <f>C14</f>
        <v>/</v>
      </c>
      <c r="E14" s="182"/>
      <c r="F14" s="181">
        <f>1150000+150000</f>
        <v>1300000</v>
      </c>
      <c r="G14" s="47" t="s">
        <v>253</v>
      </c>
    </row>
    <row r="15" spans="1:7">
      <c r="A15" s="39" t="s">
        <v>254</v>
      </c>
      <c r="B15" s="176"/>
      <c r="C15" s="176"/>
      <c r="D15" s="179"/>
      <c r="E15" s="182"/>
      <c r="F15" s="178"/>
      <c r="G15" s="46"/>
    </row>
    <row r="16" spans="1:7">
      <c r="A16" s="39" t="s">
        <v>254</v>
      </c>
      <c r="B16" s="176"/>
      <c r="C16" s="176"/>
      <c r="D16" s="179"/>
      <c r="E16" s="182"/>
      <c r="F16" s="178"/>
      <c r="G16" s="46"/>
    </row>
    <row r="17" spans="1:7">
      <c r="A17" s="39" t="s">
        <v>254</v>
      </c>
      <c r="B17" s="176"/>
      <c r="C17" s="176"/>
      <c r="D17" s="179"/>
      <c r="E17" s="182"/>
      <c r="F17" s="178"/>
      <c r="G17" s="46"/>
    </row>
    <row r="18" spans="1:7">
      <c r="A18" s="43" t="s">
        <v>24</v>
      </c>
      <c r="B18" s="158"/>
      <c r="C18" s="158">
        <f>SUM(C5:C14)</f>
        <v>1436631</v>
      </c>
      <c r="D18" s="158">
        <f>SUM(D5:D14)</f>
        <v>1264422.1000000001</v>
      </c>
      <c r="E18" s="158">
        <f>SUM(E5:E14)</f>
        <v>-172208.9</v>
      </c>
      <c r="F18" s="183">
        <f>SUM(F5:F17)</f>
        <v>2378150</v>
      </c>
      <c r="G18" s="2"/>
    </row>
    <row r="19" spans="1:7">
      <c r="B19" s="156"/>
      <c r="C19" s="156"/>
      <c r="D19" s="156"/>
      <c r="E19" s="165" t="s">
        <v>231</v>
      </c>
      <c r="F19" s="184">
        <f>E18*3</f>
        <v>-516626.69999999995</v>
      </c>
      <c r="G19" s="2"/>
    </row>
    <row r="20" spans="1:7">
      <c r="F20"/>
    </row>
    <row r="21" spans="1:7">
      <c r="F21" s="50"/>
      <c r="G21" t="s">
        <v>255</v>
      </c>
    </row>
    <row r="22" spans="1:7">
      <c r="F22"/>
    </row>
    <row r="23" spans="1:7">
      <c r="F23"/>
    </row>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C569-2DB8-4C85-8C67-3A6B6CB67D9E}">
  <dimension ref="A1:G12"/>
  <sheetViews>
    <sheetView zoomScale="90" zoomScaleNormal="90" workbookViewId="0">
      <selection activeCell="B6" sqref="B6"/>
    </sheetView>
  </sheetViews>
  <sheetFormatPr defaultRowHeight="15"/>
  <cols>
    <col min="1" max="1" width="19.85546875" customWidth="1"/>
    <col min="2" max="2" width="25.28515625" bestFit="1" customWidth="1"/>
    <col min="3" max="3" width="15.28515625" customWidth="1"/>
    <col min="4" max="4" width="19.7109375" bestFit="1" customWidth="1"/>
    <col min="5" max="5" width="18.28515625" bestFit="1" customWidth="1"/>
    <col min="6" max="6" width="16.140625" customWidth="1"/>
    <col min="7" max="7" width="85.5703125" bestFit="1" customWidth="1"/>
  </cols>
  <sheetData>
    <row r="1" spans="1:7">
      <c r="B1" t="s">
        <v>204</v>
      </c>
    </row>
    <row r="2" spans="1:7">
      <c r="B2" t="s">
        <v>206</v>
      </c>
      <c r="C2" s="12" t="s">
        <v>1</v>
      </c>
      <c r="D2" t="s">
        <v>256</v>
      </c>
    </row>
    <row r="3" spans="1:7">
      <c r="A3" s="8"/>
      <c r="B3" s="6"/>
      <c r="C3" s="6"/>
      <c r="D3" s="7"/>
      <c r="E3" s="2"/>
      <c r="F3" s="2"/>
      <c r="G3" s="2"/>
    </row>
    <row r="4" spans="1:7" ht="60">
      <c r="A4" s="9"/>
      <c r="B4" s="1" t="s">
        <v>257</v>
      </c>
      <c r="C4" s="1" t="s">
        <v>258</v>
      </c>
      <c r="D4" s="11" t="s">
        <v>259</v>
      </c>
      <c r="E4" s="20" t="s">
        <v>260</v>
      </c>
      <c r="F4" s="15" t="s">
        <v>216</v>
      </c>
      <c r="G4" s="17" t="s">
        <v>217</v>
      </c>
    </row>
    <row r="5" spans="1:7">
      <c r="A5" s="8" t="s">
        <v>261</v>
      </c>
      <c r="B5" s="14"/>
      <c r="C5" s="14"/>
      <c r="D5" s="14"/>
      <c r="E5" s="14"/>
      <c r="F5" s="18"/>
      <c r="G5" s="18"/>
    </row>
    <row r="6" spans="1:7">
      <c r="A6" s="2" t="s">
        <v>262</v>
      </c>
      <c r="B6" s="157">
        <v>27500</v>
      </c>
      <c r="C6" s="157">
        <v>0</v>
      </c>
      <c r="D6" s="157">
        <v>27500</v>
      </c>
      <c r="E6" s="158">
        <f>D6-B6</f>
        <v>0</v>
      </c>
      <c r="F6" s="159">
        <v>110000</v>
      </c>
      <c r="G6" s="18" t="s">
        <v>263</v>
      </c>
    </row>
    <row r="7" spans="1:7" ht="30">
      <c r="A7" s="2" t="s">
        <v>52</v>
      </c>
      <c r="B7" s="160">
        <v>98000</v>
      </c>
      <c r="C7" s="160">
        <v>85188.220459258591</v>
      </c>
      <c r="D7" s="160">
        <v>85188.220459258591</v>
      </c>
      <c r="E7" s="167">
        <f>D7-B7</f>
        <v>-12811.779540741409</v>
      </c>
      <c r="F7" s="159">
        <f>D7+60000</f>
        <v>145188.22045925859</v>
      </c>
      <c r="G7" s="21" t="s">
        <v>264</v>
      </c>
    </row>
    <row r="8" spans="1:7">
      <c r="A8" s="2" t="s">
        <v>265</v>
      </c>
      <c r="B8" s="160">
        <v>3057</v>
      </c>
      <c r="C8" s="160">
        <v>0</v>
      </c>
      <c r="D8" s="160">
        <f>B8</f>
        <v>3057</v>
      </c>
      <c r="E8" s="158">
        <f t="shared" ref="E8" si="0">D8-B8</f>
        <v>0</v>
      </c>
      <c r="F8" s="161"/>
      <c r="G8" s="18" t="s">
        <v>266</v>
      </c>
    </row>
    <row r="9" spans="1:7">
      <c r="A9" s="2" t="s">
        <v>56</v>
      </c>
      <c r="B9" s="160"/>
      <c r="C9" s="160"/>
      <c r="D9" s="160"/>
      <c r="E9" s="158"/>
      <c r="F9" s="159">
        <v>200000</v>
      </c>
      <c r="G9" s="18" t="s">
        <v>267</v>
      </c>
    </row>
    <row r="10" spans="1:7">
      <c r="A10" s="2"/>
      <c r="B10" s="160"/>
      <c r="C10" s="160"/>
      <c r="D10" s="160"/>
      <c r="E10" s="158"/>
      <c r="F10" s="158"/>
      <c r="G10" s="18"/>
    </row>
    <row r="11" spans="1:7">
      <c r="A11" s="28" t="s">
        <v>24</v>
      </c>
      <c r="B11" s="162">
        <v>128557.23651033787</v>
      </c>
      <c r="C11" s="163">
        <f>SUM(C6:C10)</f>
        <v>85188.220459258591</v>
      </c>
      <c r="D11" s="163">
        <f>SUM(D6:D10)</f>
        <v>115745.22045925859</v>
      </c>
      <c r="E11" s="166">
        <f>SUM(E6:E10)</f>
        <v>-12811.779540741409</v>
      </c>
      <c r="F11" s="164">
        <f>SUM(F5:F10)</f>
        <v>455188.22045925859</v>
      </c>
      <c r="G11" s="18"/>
    </row>
    <row r="12" spans="1:7">
      <c r="B12" s="156"/>
      <c r="C12" s="156"/>
      <c r="D12" s="156"/>
      <c r="E12" s="165" t="s">
        <v>231</v>
      </c>
      <c r="F12" s="166">
        <f>E11*3</f>
        <v>-38435.338622224226</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388CF-8503-4C55-8710-51D37E09A92C}">
  <dimension ref="A1:G13"/>
  <sheetViews>
    <sheetView zoomScale="90" zoomScaleNormal="90" workbookViewId="0">
      <selection activeCell="G8" sqref="G8"/>
    </sheetView>
  </sheetViews>
  <sheetFormatPr defaultRowHeight="15"/>
  <cols>
    <col min="1" max="1" width="16.42578125" customWidth="1"/>
    <col min="2" max="2" width="25.28515625" bestFit="1" customWidth="1"/>
    <col min="3" max="3" width="15.28515625" hidden="1" customWidth="1"/>
    <col min="4" max="4" width="19.7109375" bestFit="1" customWidth="1"/>
    <col min="5" max="5" width="18.28515625" bestFit="1" customWidth="1"/>
    <col min="6" max="6" width="16.140625" customWidth="1"/>
    <col min="7" max="7" width="82.7109375" customWidth="1"/>
  </cols>
  <sheetData>
    <row r="1" spans="1:7">
      <c r="B1" t="s">
        <v>204</v>
      </c>
    </row>
    <row r="2" spans="1:7">
      <c r="B2" t="s">
        <v>206</v>
      </c>
      <c r="C2" s="12" t="s">
        <v>268</v>
      </c>
      <c r="D2" t="s">
        <v>256</v>
      </c>
    </row>
    <row r="3" spans="1:7">
      <c r="A3" s="8"/>
      <c r="B3" s="6"/>
      <c r="C3" s="6"/>
      <c r="D3" s="7"/>
      <c r="E3" s="2"/>
      <c r="F3" s="2"/>
      <c r="G3" s="2"/>
    </row>
    <row r="4" spans="1:7" ht="60">
      <c r="A4" s="9"/>
      <c r="B4" s="1" t="s">
        <v>257</v>
      </c>
      <c r="C4" s="1" t="s">
        <v>234</v>
      </c>
      <c r="D4" s="11" t="s">
        <v>214</v>
      </c>
      <c r="E4" s="20" t="s">
        <v>235</v>
      </c>
      <c r="F4" s="15" t="s">
        <v>216</v>
      </c>
      <c r="G4" s="17" t="s">
        <v>217</v>
      </c>
    </row>
    <row r="5" spans="1:7">
      <c r="A5" s="8" t="s">
        <v>269</v>
      </c>
      <c r="B5" s="10"/>
      <c r="C5" s="13"/>
      <c r="D5" s="13"/>
      <c r="E5" s="14"/>
      <c r="F5" s="16"/>
      <c r="G5" s="18"/>
    </row>
    <row r="6" spans="1:7">
      <c r="A6" s="2" t="s">
        <v>270</v>
      </c>
      <c r="B6" s="157">
        <v>116000</v>
      </c>
      <c r="C6" s="157">
        <v>132000</v>
      </c>
      <c r="D6" s="157">
        <v>132000</v>
      </c>
      <c r="E6" s="158">
        <f>C6-D6</f>
        <v>0</v>
      </c>
      <c r="F6" s="169">
        <v>0</v>
      </c>
      <c r="G6" s="18" t="s">
        <v>271</v>
      </c>
    </row>
    <row r="7" spans="1:7">
      <c r="A7" s="2" t="s">
        <v>102</v>
      </c>
      <c r="B7" s="160">
        <v>142965</v>
      </c>
      <c r="C7" s="160">
        <v>28593</v>
      </c>
      <c r="D7" s="157">
        <v>28593</v>
      </c>
      <c r="E7" s="185">
        <f>B7-D7</f>
        <v>114372</v>
      </c>
      <c r="F7" s="169">
        <f>E7</f>
        <v>114372</v>
      </c>
      <c r="G7" s="18" t="s">
        <v>272</v>
      </c>
    </row>
    <row r="8" spans="1:7" ht="90">
      <c r="A8" s="2" t="s">
        <v>273</v>
      </c>
      <c r="B8" s="160">
        <v>174000</v>
      </c>
      <c r="C8" s="160">
        <v>0</v>
      </c>
      <c r="D8" s="157">
        <v>0</v>
      </c>
      <c r="E8" s="185">
        <f>B8-D8</f>
        <v>174000</v>
      </c>
      <c r="F8" s="169">
        <v>680553</v>
      </c>
      <c r="G8" s="21" t="s">
        <v>274</v>
      </c>
    </row>
    <row r="9" spans="1:7">
      <c r="A9" s="2" t="s">
        <v>275</v>
      </c>
      <c r="B9" s="160">
        <v>5400</v>
      </c>
      <c r="C9" s="160">
        <v>0</v>
      </c>
      <c r="D9" s="160">
        <v>0</v>
      </c>
      <c r="E9" s="185">
        <f>B9-D9</f>
        <v>5400</v>
      </c>
      <c r="F9" s="169">
        <v>5000</v>
      </c>
      <c r="G9" s="18" t="s">
        <v>276</v>
      </c>
    </row>
    <row r="10" spans="1:7">
      <c r="A10" s="2" t="s">
        <v>277</v>
      </c>
      <c r="B10" s="160">
        <v>0</v>
      </c>
      <c r="C10" s="160">
        <v>0</v>
      </c>
      <c r="D10" s="160">
        <v>0</v>
      </c>
      <c r="E10" s="158">
        <v>0</v>
      </c>
      <c r="F10" s="169">
        <v>32295</v>
      </c>
      <c r="G10" s="18" t="s">
        <v>278</v>
      </c>
    </row>
    <row r="11" spans="1:7">
      <c r="A11" s="2"/>
      <c r="B11" s="160"/>
      <c r="C11" s="160"/>
      <c r="D11" s="160"/>
      <c r="E11" s="158"/>
      <c r="F11" s="158"/>
      <c r="G11" s="18"/>
    </row>
    <row r="12" spans="1:7">
      <c r="A12" s="19" t="s">
        <v>24</v>
      </c>
      <c r="B12" s="129">
        <f>SUM(B6:B11)</f>
        <v>438365</v>
      </c>
      <c r="C12" s="129">
        <f t="shared" ref="C12:F12" si="0">SUM(C6:C11)</f>
        <v>160593</v>
      </c>
      <c r="D12" s="129">
        <f t="shared" si="0"/>
        <v>160593</v>
      </c>
      <c r="E12" s="129">
        <f t="shared" si="0"/>
        <v>293772</v>
      </c>
      <c r="F12" s="186">
        <f t="shared" si="0"/>
        <v>832220</v>
      </c>
    </row>
    <row r="13" spans="1:7">
      <c r="B13" s="156"/>
      <c r="C13" s="156"/>
      <c r="D13" s="156"/>
      <c r="E13" s="165" t="s">
        <v>231</v>
      </c>
      <c r="F13" s="166">
        <f>E12*3</f>
        <v>881316</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59E1B-D995-4F0D-ACE6-2B10D6D18CE1}">
  <dimension ref="A1:G22"/>
  <sheetViews>
    <sheetView zoomScale="90" zoomScaleNormal="90" workbookViewId="0">
      <selection activeCell="B3" sqref="B3"/>
    </sheetView>
  </sheetViews>
  <sheetFormatPr defaultRowHeight="15"/>
  <cols>
    <col min="1" max="1" width="18.28515625" bestFit="1" customWidth="1"/>
    <col min="2" max="2" width="25.7109375" bestFit="1" customWidth="1"/>
    <col min="3" max="3" width="13.85546875" hidden="1" customWidth="1"/>
    <col min="4" max="4" width="19.7109375" bestFit="1" customWidth="1"/>
    <col min="5" max="5" width="18.28515625" bestFit="1" customWidth="1"/>
    <col min="6" max="6" width="16.140625" customWidth="1"/>
    <col min="7" max="7" width="65.5703125" customWidth="1"/>
  </cols>
  <sheetData>
    <row r="1" spans="1:7">
      <c r="B1" t="s">
        <v>204</v>
      </c>
    </row>
    <row r="2" spans="1:7">
      <c r="B2" t="s">
        <v>206</v>
      </c>
      <c r="C2" s="12" t="s">
        <v>268</v>
      </c>
      <c r="D2" t="s">
        <v>2</v>
      </c>
    </row>
    <row r="3" spans="1:7" ht="60">
      <c r="A3" s="5" t="s">
        <v>279</v>
      </c>
      <c r="B3" s="5" t="s">
        <v>257</v>
      </c>
      <c r="C3" s="1" t="s">
        <v>234</v>
      </c>
      <c r="D3" s="11" t="s">
        <v>280</v>
      </c>
      <c r="E3" s="22" t="s">
        <v>281</v>
      </c>
      <c r="F3" s="15" t="s">
        <v>216</v>
      </c>
      <c r="G3" s="17" t="s">
        <v>217</v>
      </c>
    </row>
    <row r="4" spans="1:7" ht="45">
      <c r="A4" s="2" t="s">
        <v>282</v>
      </c>
      <c r="B4" s="157">
        <v>277242</v>
      </c>
      <c r="C4" s="157">
        <f>992+24345</f>
        <v>25337</v>
      </c>
      <c r="D4" s="157">
        <f>67650+159000</f>
        <v>226650</v>
      </c>
      <c r="E4" s="159">
        <f t="shared" ref="E4:E14" si="0">D4-B4</f>
        <v>-50592</v>
      </c>
      <c r="F4" s="169"/>
      <c r="G4" s="21" t="s">
        <v>283</v>
      </c>
    </row>
    <row r="5" spans="1:7" ht="45">
      <c r="A5" s="2" t="s">
        <v>284</v>
      </c>
      <c r="B5" s="160">
        <v>14836</v>
      </c>
      <c r="C5" s="160"/>
      <c r="D5" s="157">
        <v>13500</v>
      </c>
      <c r="E5" s="158">
        <f t="shared" si="0"/>
        <v>-1336</v>
      </c>
      <c r="F5" s="169"/>
      <c r="G5" s="21" t="s">
        <v>285</v>
      </c>
    </row>
    <row r="6" spans="1:7">
      <c r="A6" s="2" t="s">
        <v>286</v>
      </c>
      <c r="B6" s="160">
        <v>22100</v>
      </c>
      <c r="C6" s="160"/>
      <c r="D6" s="157">
        <f>4000+20000</f>
        <v>24000</v>
      </c>
      <c r="E6" s="158">
        <f t="shared" si="0"/>
        <v>1900</v>
      </c>
      <c r="F6" s="187"/>
      <c r="G6" s="21"/>
    </row>
    <row r="7" spans="1:7" ht="30">
      <c r="A7" s="2" t="s">
        <v>287</v>
      </c>
      <c r="B7" s="160">
        <v>15434</v>
      </c>
      <c r="C7" s="160"/>
      <c r="D7" s="160">
        <f>7717</f>
        <v>7717</v>
      </c>
      <c r="E7" s="158">
        <f t="shared" si="0"/>
        <v>-7717</v>
      </c>
      <c r="F7" s="187"/>
      <c r="G7" s="21" t="s">
        <v>288</v>
      </c>
    </row>
    <row r="8" spans="1:7" ht="135">
      <c r="A8" s="2" t="s">
        <v>122</v>
      </c>
      <c r="B8" s="160">
        <v>1827510</v>
      </c>
      <c r="C8" s="160">
        <f>3585+44226+39420+1345143.298</f>
        <v>1432374.298</v>
      </c>
      <c r="D8" s="160">
        <f>1877652.82+29484+19710</f>
        <v>1926846.82</v>
      </c>
      <c r="E8" s="159">
        <f t="shared" si="0"/>
        <v>99336.820000000065</v>
      </c>
      <c r="F8" s="187"/>
      <c r="G8" s="21" t="s">
        <v>289</v>
      </c>
    </row>
    <row r="9" spans="1:7" ht="30">
      <c r="A9" s="2" t="s">
        <v>290</v>
      </c>
      <c r="B9" s="160">
        <f>85510</f>
        <v>85510</v>
      </c>
      <c r="C9" s="160">
        <f>35100+35100</f>
        <v>70200</v>
      </c>
      <c r="D9" s="160">
        <f>1045+95940</f>
        <v>96985</v>
      </c>
      <c r="E9" s="158">
        <f t="shared" si="0"/>
        <v>11475</v>
      </c>
      <c r="F9" s="187"/>
      <c r="G9" s="21" t="s">
        <v>291</v>
      </c>
    </row>
    <row r="10" spans="1:7" ht="30">
      <c r="A10" s="2" t="s">
        <v>292</v>
      </c>
      <c r="B10" s="160">
        <v>21129</v>
      </c>
      <c r="C10" s="160"/>
      <c r="D10" s="160">
        <v>0</v>
      </c>
      <c r="E10" s="158">
        <f t="shared" si="0"/>
        <v>-21129</v>
      </c>
      <c r="F10" s="187"/>
      <c r="G10" s="21" t="s">
        <v>293</v>
      </c>
    </row>
    <row r="11" spans="1:7" ht="60">
      <c r="A11" s="59" t="s">
        <v>294</v>
      </c>
      <c r="B11" s="160">
        <v>784392</v>
      </c>
      <c r="C11" s="160">
        <f>60858+135240</f>
        <v>196098</v>
      </c>
      <c r="D11" s="160">
        <f>108642+686569.2</f>
        <v>795211.2</v>
      </c>
      <c r="E11" s="158">
        <f t="shared" si="0"/>
        <v>10819.199999999953</v>
      </c>
      <c r="F11" s="187"/>
      <c r="G11" s="21" t="s">
        <v>295</v>
      </c>
    </row>
    <row r="12" spans="1:7" ht="45">
      <c r="A12" s="59" t="s">
        <v>75</v>
      </c>
      <c r="B12" s="160">
        <v>212002</v>
      </c>
      <c r="C12" s="160">
        <f>365.9718</f>
        <v>365.97179999999997</v>
      </c>
      <c r="D12" s="160">
        <v>0</v>
      </c>
      <c r="E12" s="158">
        <f t="shared" si="0"/>
        <v>-212002</v>
      </c>
      <c r="F12" s="187"/>
      <c r="G12" s="21" t="s">
        <v>296</v>
      </c>
    </row>
    <row r="13" spans="1:7" ht="45">
      <c r="A13" s="59" t="s">
        <v>297</v>
      </c>
      <c r="B13" s="160">
        <v>121225</v>
      </c>
      <c r="C13" s="160">
        <f>10560+16320</f>
        <v>26880</v>
      </c>
      <c r="D13" s="160">
        <v>48686</v>
      </c>
      <c r="E13" s="158">
        <f t="shared" si="0"/>
        <v>-72539</v>
      </c>
      <c r="F13" s="187"/>
      <c r="G13" s="140" t="s">
        <v>298</v>
      </c>
    </row>
    <row r="14" spans="1:7" ht="60">
      <c r="A14" s="59" t="s">
        <v>299</v>
      </c>
      <c r="B14" s="160">
        <v>69453</v>
      </c>
      <c r="C14" s="160"/>
      <c r="D14" s="160">
        <v>46302</v>
      </c>
      <c r="E14" s="158">
        <f t="shared" si="0"/>
        <v>-23151</v>
      </c>
      <c r="F14" s="187"/>
      <c r="G14" s="21" t="s">
        <v>300</v>
      </c>
    </row>
    <row r="15" spans="1:7" ht="135">
      <c r="A15" s="59" t="s">
        <v>187</v>
      </c>
      <c r="B15" s="160">
        <v>59500</v>
      </c>
      <c r="C15" s="160"/>
      <c r="D15" s="160">
        <v>59500</v>
      </c>
      <c r="E15" s="158">
        <f>D15-B15</f>
        <v>0</v>
      </c>
      <c r="F15" s="187">
        <f>150000*1.7</f>
        <v>255000</v>
      </c>
      <c r="G15" s="21" t="s">
        <v>301</v>
      </c>
    </row>
    <row r="16" spans="1:7" ht="105">
      <c r="A16" s="59" t="s">
        <v>84</v>
      </c>
      <c r="B16" s="188">
        <v>26000</v>
      </c>
      <c r="C16" s="188"/>
      <c r="D16" s="188">
        <v>0</v>
      </c>
      <c r="E16" s="159">
        <f>D16-B16</f>
        <v>-26000</v>
      </c>
      <c r="F16" s="187"/>
      <c r="G16" s="33" t="s">
        <v>302</v>
      </c>
    </row>
    <row r="17" spans="1:7" ht="75">
      <c r="A17" s="48" t="s">
        <v>303</v>
      </c>
      <c r="B17" s="188"/>
      <c r="C17" s="188"/>
      <c r="D17" s="188"/>
      <c r="E17" s="189"/>
      <c r="F17" s="190">
        <v>56000</v>
      </c>
      <c r="G17" s="33" t="s">
        <v>304</v>
      </c>
    </row>
    <row r="18" spans="1:7" ht="60">
      <c r="A18" s="48" t="s">
        <v>305</v>
      </c>
      <c r="B18" s="188"/>
      <c r="C18" s="188"/>
      <c r="D18" s="188"/>
      <c r="E18" s="189"/>
      <c r="F18" s="190">
        <v>400000</v>
      </c>
      <c r="G18" s="33" t="s">
        <v>306</v>
      </c>
    </row>
    <row r="19" spans="1:7" ht="30">
      <c r="A19" s="48" t="s">
        <v>129</v>
      </c>
      <c r="B19" s="191"/>
      <c r="C19" s="191"/>
      <c r="D19" s="191"/>
      <c r="E19" s="192"/>
      <c r="F19" s="193">
        <v>70000</v>
      </c>
      <c r="G19" s="155" t="s">
        <v>307</v>
      </c>
    </row>
    <row r="20" spans="1:7" ht="30.75" thickBot="1">
      <c r="A20" s="49" t="s">
        <v>303</v>
      </c>
      <c r="B20" s="194"/>
      <c r="C20" s="195"/>
      <c r="D20" s="196"/>
      <c r="E20" s="197"/>
      <c r="F20" s="187">
        <f>6000*0.4</f>
        <v>2400</v>
      </c>
      <c r="G20" s="154" t="s">
        <v>308</v>
      </c>
    </row>
    <row r="21" spans="1:7">
      <c r="A21" s="19" t="s">
        <v>24</v>
      </c>
      <c r="B21" s="129">
        <f>SUM(B4:B16)</f>
        <v>3536333</v>
      </c>
      <c r="C21" s="156">
        <f t="shared" ref="C21" si="1">SUM(C4:C9)</f>
        <v>1527911.298</v>
      </c>
      <c r="D21" s="156">
        <f>SUM(D4:D16)</f>
        <v>3245398.0200000005</v>
      </c>
      <c r="E21" s="156">
        <f>B21-D21</f>
        <v>290934.97999999952</v>
      </c>
      <c r="F21" s="156">
        <f>SUM(F4:F20)</f>
        <v>783400</v>
      </c>
    </row>
    <row r="22" spans="1:7">
      <c r="B22" s="156"/>
      <c r="C22" s="156"/>
      <c r="D22" s="156"/>
      <c r="E22" s="165" t="s">
        <v>231</v>
      </c>
      <c r="F22" s="166">
        <f>E21*3</f>
        <v>872804.93999999855</v>
      </c>
    </row>
  </sheetData>
  <phoneticPr fontId="10" type="noConversion"/>
  <conditionalFormatting sqref="E4:E20">
    <cfRule type="cellIs" dxfId="1" priority="1" operator="greaterThan">
      <formula>-0.337</formula>
    </cfRule>
    <cfRule type="cellIs" dxfId="0" priority="2"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FC53-83C0-4BD0-BA65-2FFFB6624F47}">
  <dimension ref="A1:G15"/>
  <sheetViews>
    <sheetView zoomScale="90" zoomScaleNormal="90" workbookViewId="0">
      <selection activeCell="G5" sqref="G5"/>
    </sheetView>
  </sheetViews>
  <sheetFormatPr defaultRowHeight="15"/>
  <cols>
    <col min="1" max="1" width="16.42578125" customWidth="1"/>
    <col min="2" max="2" width="25.28515625" bestFit="1" customWidth="1"/>
    <col min="3" max="3" width="15.28515625" customWidth="1"/>
    <col min="4" max="4" width="19.7109375" bestFit="1" customWidth="1"/>
    <col min="5" max="5" width="18.28515625" bestFit="1" customWidth="1"/>
    <col min="6" max="6" width="16.140625" customWidth="1"/>
    <col min="7" max="7" width="77.42578125" customWidth="1"/>
  </cols>
  <sheetData>
    <row r="1" spans="1:7">
      <c r="B1" t="s">
        <v>204</v>
      </c>
    </row>
    <row r="2" spans="1:7">
      <c r="B2" t="s">
        <v>206</v>
      </c>
      <c r="C2" s="12" t="s">
        <v>268</v>
      </c>
      <c r="D2" t="s">
        <v>209</v>
      </c>
    </row>
    <row r="3" spans="1:7">
      <c r="A3" s="8"/>
      <c r="B3" s="6"/>
      <c r="C3" s="6"/>
      <c r="D3" s="7"/>
      <c r="E3" s="2"/>
      <c r="F3" s="2"/>
      <c r="G3" s="2"/>
    </row>
    <row r="4" spans="1:7" ht="60">
      <c r="A4" s="25" t="s">
        <v>309</v>
      </c>
      <c r="B4" s="5" t="s">
        <v>211</v>
      </c>
      <c r="C4" s="1" t="s">
        <v>234</v>
      </c>
      <c r="D4" s="11" t="s">
        <v>213</v>
      </c>
      <c r="E4" s="20" t="s">
        <v>310</v>
      </c>
      <c r="F4" s="15" t="s">
        <v>311</v>
      </c>
      <c r="G4" s="17" t="s">
        <v>217</v>
      </c>
    </row>
    <row r="5" spans="1:7" ht="45">
      <c r="A5" s="59" t="s">
        <v>312</v>
      </c>
      <c r="B5" s="4">
        <v>183200</v>
      </c>
      <c r="C5" s="4"/>
      <c r="D5" s="4">
        <v>224900</v>
      </c>
      <c r="E5" s="122">
        <f t="shared" ref="E5:E12" si="0">D5-B5</f>
        <v>41700</v>
      </c>
      <c r="F5" s="27"/>
      <c r="G5" s="123" t="s">
        <v>313</v>
      </c>
    </row>
    <row r="6" spans="1:7" ht="30">
      <c r="A6" s="59" t="s">
        <v>158</v>
      </c>
      <c r="B6" s="3">
        <v>43275</v>
      </c>
      <c r="C6" s="3"/>
      <c r="D6" s="26">
        <v>3675</v>
      </c>
      <c r="E6" s="30">
        <f t="shared" si="0"/>
        <v>-39600</v>
      </c>
      <c r="F6" s="27"/>
      <c r="G6" s="123" t="s">
        <v>314</v>
      </c>
    </row>
    <row r="7" spans="1:7">
      <c r="A7" s="59" t="s">
        <v>315</v>
      </c>
      <c r="B7" s="3">
        <v>33600</v>
      </c>
      <c r="C7" s="3"/>
      <c r="D7" s="4">
        <v>8700</v>
      </c>
      <c r="E7" s="30">
        <f t="shared" si="0"/>
        <v>-24900</v>
      </c>
      <c r="F7" s="27">
        <v>33600</v>
      </c>
      <c r="G7" s="31" t="s">
        <v>316</v>
      </c>
    </row>
    <row r="8" spans="1:7">
      <c r="A8" s="59" t="s">
        <v>161</v>
      </c>
      <c r="B8" s="3">
        <v>28850</v>
      </c>
      <c r="C8" s="3">
        <v>350</v>
      </c>
      <c r="D8" s="3">
        <v>3675</v>
      </c>
      <c r="E8" s="30">
        <f t="shared" si="0"/>
        <v>-25175</v>
      </c>
      <c r="F8" s="27"/>
      <c r="G8" s="31" t="s">
        <v>317</v>
      </c>
    </row>
    <row r="9" spans="1:7">
      <c r="A9" s="59" t="s">
        <v>142</v>
      </c>
      <c r="B9" s="3">
        <v>3610270</v>
      </c>
      <c r="C9" s="3">
        <v>968424</v>
      </c>
      <c r="D9" s="3">
        <f xml:space="preserve"> 3702963.5+29120</f>
        <v>3732083.5</v>
      </c>
      <c r="E9" s="122">
        <f t="shared" si="0"/>
        <v>121813.5</v>
      </c>
      <c r="F9" s="27"/>
      <c r="G9" s="31"/>
    </row>
    <row r="10" spans="1:7">
      <c r="A10" s="59" t="s">
        <v>318</v>
      </c>
      <c r="B10" s="3">
        <v>299916</v>
      </c>
      <c r="C10" s="3">
        <v>226980</v>
      </c>
      <c r="D10" s="3">
        <v>254916</v>
      </c>
      <c r="E10" s="30">
        <f t="shared" si="0"/>
        <v>-45000</v>
      </c>
      <c r="F10" s="27">
        <f>500000*0.058+45000</f>
        <v>74000</v>
      </c>
      <c r="G10" s="31" t="s">
        <v>319</v>
      </c>
    </row>
    <row r="11" spans="1:7" ht="30">
      <c r="A11" s="59" t="s">
        <v>152</v>
      </c>
      <c r="B11" s="3">
        <v>157578</v>
      </c>
      <c r="C11" s="3">
        <v>24000</v>
      </c>
      <c r="D11" s="3">
        <v>167940</v>
      </c>
      <c r="E11" s="122">
        <f t="shared" si="0"/>
        <v>10362</v>
      </c>
      <c r="F11" s="27"/>
      <c r="G11" s="123" t="s">
        <v>320</v>
      </c>
    </row>
    <row r="12" spans="1:7" ht="45">
      <c r="A12" s="59" t="s">
        <v>321</v>
      </c>
      <c r="B12" s="3">
        <v>273244</v>
      </c>
      <c r="C12" s="3">
        <v>5508</v>
      </c>
      <c r="D12" s="3">
        <v>219250</v>
      </c>
      <c r="E12" s="30">
        <f t="shared" si="0"/>
        <v>-53994</v>
      </c>
      <c r="F12" s="27"/>
      <c r="G12" s="123" t="s">
        <v>322</v>
      </c>
    </row>
    <row r="13" spans="1:7">
      <c r="A13" s="48"/>
      <c r="B13" s="24"/>
      <c r="C13" s="24"/>
      <c r="D13" s="24"/>
      <c r="E13" s="29"/>
      <c r="F13" s="27"/>
      <c r="G13" s="31"/>
    </row>
    <row r="14" spans="1:7">
      <c r="A14" s="124" t="s">
        <v>24</v>
      </c>
      <c r="B14" s="125">
        <f>SUM(B5:B13)</f>
        <v>4629933</v>
      </c>
      <c r="C14" s="125">
        <f>SUM(C5:C13)</f>
        <v>1225262</v>
      </c>
      <c r="D14" s="125">
        <f>SUM(D5:D13)</f>
        <v>4615139.5</v>
      </c>
      <c r="E14" s="126">
        <f>SUM(E5:E13)</f>
        <v>-14793.5</v>
      </c>
      <c r="F14" s="34">
        <f>SUM(F5:F13)</f>
        <v>107600</v>
      </c>
      <c r="G14" s="60"/>
    </row>
    <row r="15" spans="1:7">
      <c r="A15" s="60"/>
      <c r="B15" s="60"/>
      <c r="C15" s="60"/>
      <c r="D15" s="60"/>
      <c r="E15" s="127" t="s">
        <v>231</v>
      </c>
      <c r="F15" s="32">
        <f>E14*3</f>
        <v>-44380.5</v>
      </c>
      <c r="G15" s="60"/>
    </row>
  </sheetData>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BE149DBE6E3C439E4567194F57993C" ma:contentTypeVersion="23" ma:contentTypeDescription="Create a new document." ma:contentTypeScope="" ma:versionID="9e8913432c19e18b6f58538fa7ef935a">
  <xsd:schema xmlns:xsd="http://www.w3.org/2001/XMLSchema" xmlns:xs="http://www.w3.org/2001/XMLSchema" xmlns:p="http://schemas.microsoft.com/office/2006/metadata/properties" xmlns:ns2="9244d6b0-c7fc-4b0b-9b17-9722394bf8c8" xmlns:ns3="5b712446-01bb-4580-8f75-4f2f143c54e6" targetNamespace="http://schemas.microsoft.com/office/2006/metadata/properties" ma:root="true" ma:fieldsID="51b91252527b36d43b9ce09c5a357c0b" ns2:_="" ns3:_="">
    <xsd:import namespace="9244d6b0-c7fc-4b0b-9b17-9722394bf8c8"/>
    <xsd:import namespace="5b712446-01bb-4580-8f75-4f2f143c54e6"/>
    <xsd:element name="properties">
      <xsd:complexType>
        <xsd:sequence>
          <xsd:element name="documentManagement">
            <xsd:complexType>
              <xsd:all>
                <xsd:element ref="ns2:SharedWithDetails" minOccurs="0"/>
                <xsd:element ref="ns2:SharedWithUser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44d6b0-c7fc-4b0b-9b17-9722394bf8c8" elementFormDefault="qualified">
    <xsd:import namespace="http://schemas.microsoft.com/office/2006/documentManagement/types"/>
    <xsd:import namespace="http://schemas.microsoft.com/office/infopath/2007/PartnerControls"/>
    <xsd:element name="SharedWithDetails" ma:index="8" nillable="true" ma:displayName="Shared With Details" ma:description="" ma:internalName="SharedWithDetails" ma:readOnly="true">
      <xsd:simpleType>
        <xsd:restriction base="dms:Note">
          <xsd:maxLength value="255"/>
        </xsd:restriction>
      </xsd:simpleType>
    </xsd:element>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0d600a3c-0014-402c-bebc-5c8bf30f0b1a}" ma:internalName="TaxCatchAll" ma:showField="CatchAllData" ma:web="9244d6b0-c7fc-4b0b-9b17-9722394bf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b712446-01bb-4580-8f75-4f2f143c54e6"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description="" ma:internalName="MediaServiceAutoTags" ma:readOnly="true">
      <xsd:simpleType>
        <xsd:restriction base="dms:Text"/>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ca7b95e-db9e-4c6f-877f-8dc8e2b229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712446-01bb-4580-8f75-4f2f143c54e6">
      <Terms xmlns="http://schemas.microsoft.com/office/infopath/2007/PartnerControls"/>
    </lcf76f155ced4ddcb4097134ff3c332f>
    <TaxCatchAll xmlns="9244d6b0-c7fc-4b0b-9b17-9722394bf8c8" xsi:nil="true"/>
  </documentManagement>
</p:properties>
</file>

<file path=customXml/itemProps1.xml><?xml version="1.0" encoding="utf-8"?>
<ds:datastoreItem xmlns:ds="http://schemas.openxmlformats.org/officeDocument/2006/customXml" ds:itemID="{CFD3AED6-109D-4170-B947-75669D0E33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44d6b0-c7fc-4b0b-9b17-9722394bf8c8"/>
    <ds:schemaRef ds:uri="5b712446-01bb-4580-8f75-4f2f143c5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45DB3E-6926-4818-8260-F57FBCA43106}">
  <ds:schemaRefs>
    <ds:schemaRef ds:uri="http://schemas.microsoft.com/sharepoint/v3/contenttype/forms"/>
  </ds:schemaRefs>
</ds:datastoreItem>
</file>

<file path=customXml/itemProps3.xml><?xml version="1.0" encoding="utf-8"?>
<ds:datastoreItem xmlns:ds="http://schemas.openxmlformats.org/officeDocument/2006/customXml" ds:itemID="{0E0566DA-9DF1-41D9-B1C8-682630B75027}">
  <ds:schemaRefs>
    <ds:schemaRef ds:uri="http://schemas.microsoft.com/office/2006/metadata/properties"/>
    <ds:schemaRef ds:uri="http://schemas.microsoft.com/office/infopath/2007/PartnerControls"/>
    <ds:schemaRef ds:uri="5b712446-01bb-4580-8f75-4f2f143c54e6"/>
    <ds:schemaRef ds:uri="9244d6b0-c7fc-4b0b-9b17-9722394bf8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Dashboard</vt:lpstr>
      <vt:lpstr>Risk &amp; Opportunity</vt:lpstr>
      <vt:lpstr>Sheet2</vt:lpstr>
      <vt:lpstr>Sheet1</vt:lpstr>
      <vt:lpstr>Intira</vt:lpstr>
      <vt:lpstr>Lisa</vt:lpstr>
      <vt:lpstr>Nuttapon</vt:lpstr>
      <vt:lpstr>Shan</vt:lpstr>
      <vt:lpstr>Terry</vt:lpstr>
      <vt:lpstr>Tunn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Nuttapon Boonto</dc:creator>
  <cp:keywords/>
  <dc:description/>
  <cp:lastModifiedBy>Marc Spiegel</cp:lastModifiedBy>
  <cp:revision/>
  <dcterms:created xsi:type="dcterms:W3CDTF">2026-02-02T03:27:32Z</dcterms:created>
  <dcterms:modified xsi:type="dcterms:W3CDTF">2026-03-10T04:56:41Z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0x01010013BE149DBE6E3C439E4567194F57993C</vt:lpwstr>
  </property>
  <property fmtid="{D5CDD505-2E9C-101B-9397-08002B2CF9AE}" pid="3" name="MediaServiceImageTags">
    <vt:lpwstr/>
  </property>
</Properties>
</file>