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ayback Analysis" sheetId="2" state="visible" r:id="rId2"/>
    <sheet xmlns:r="http://schemas.openxmlformats.org/officeDocument/2006/relationships" name="Revenue Tracking" sheetId="3" state="visible" r:id="rId3"/>
    <sheet xmlns:r="http://schemas.openxmlformats.org/officeDocument/2006/relationships" name="GP &amp; COGS Analysis" sheetId="4" state="visible" r:id="rId4"/>
    <sheet xmlns:r="http://schemas.openxmlformats.org/officeDocument/2006/relationships" name="ROI &amp; Investment" sheetId="5" state="visible" r:id="rId5"/>
    <sheet xmlns:r="http://schemas.openxmlformats.org/officeDocument/2006/relationships" name="Forecast Accuracy" sheetId="6" state="visible" r:id="rId6"/>
    <sheet xmlns:r="http://schemas.openxmlformats.org/officeDocument/2006/relationships" name="LEAN Scorecard" sheetId="7" state="visible" r:id="rId7"/>
    <sheet xmlns:r="http://schemas.openxmlformats.org/officeDocument/2006/relationships" name="Biz Case Benchmar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"/>
    <numFmt numFmtId="166" formatCode="0.0"/>
    <numFmt numFmtId="167" formatCode="$#,##0;($#,##0);&quot;-&quot;"/>
    <numFmt numFmtId="168" formatCode="0.0x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1B2A4A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sz val="9"/>
    </font>
    <font>
      <name val="Arial"/>
      <b val="1"/>
      <sz val="10"/>
    </font>
    <font>
      <name val="Arial"/>
      <color rgb="00E74C3C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27AE60"/>
      <sz val="10"/>
    </font>
    <font>
      <name val="Arial"/>
      <color rgb="000000FF"/>
      <sz val="10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2F2F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165" fontId="4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5" fillId="0" borderId="0" pivotButton="0" quotePrefix="0" xfId="0"/>
    <xf numFmtId="0" fontId="8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/>
    </xf>
    <xf numFmtId="167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S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0" customWidth="1" min="11" max="11"/>
    <col width="14" customWidth="1" min="12" max="12"/>
    <col width="12" customWidth="1" min="13" max="13"/>
    <col width="28" customWidth="1" min="14" max="14"/>
    <col width="32" customWidth="1" min="15" max="15"/>
    <col width="36" customWidth="1" min="16" max="16"/>
    <col width="10" customWidth="1" min="17" max="17"/>
    <col width="12" customWidth="1" min="18" max="18"/>
    <col width="22" customWidth="1" min="19" max="19"/>
  </cols>
  <sheetData>
    <row r="1" ht="30" customHeight="1">
      <c r="A1" s="1" t="inlineStr">
        <is>
          <t>SIC NEW PRODUCT RELEASE DASHBOARD (2023-2025)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LEAN Management Health Assessment | RAG = Trajectory vs Plan | Currency: THB | FX: 33 THB/USD | March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4">
      <c r="B4" s="5" t="inlineStr">
        <is>
          <t>Total Products</t>
        </is>
      </c>
      <c r="C4" s="4" t="n"/>
      <c r="D4" s="5" t="inlineStr">
        <is>
          <t>Active</t>
        </is>
      </c>
      <c r="E4" s="4" t="n"/>
      <c r="F4" s="5" t="inlineStr">
        <is>
          <t>Research</t>
        </is>
      </c>
      <c r="G4" s="4" t="n"/>
      <c r="H4" s="5" t="inlineStr">
        <is>
          <t>Total Investment</t>
        </is>
      </c>
      <c r="I4" s="4" t="n"/>
      <c r="J4" s="5" t="inlineStr">
        <is>
          <t>Actual Rev 23-25</t>
        </is>
      </c>
      <c r="K4" s="4" t="n"/>
      <c r="L4" s="5" t="inlineStr">
        <is>
          <t>Portfolio Variance</t>
        </is>
      </c>
      <c r="M4" s="4" t="n"/>
      <c r="N4" s="5" t="inlineStr">
        <is>
          <t>Avg GP %</t>
        </is>
      </c>
      <c r="O4" s="4" t="n"/>
    </row>
    <row r="5">
      <c r="B5" s="6" t="n">
        <v>10</v>
      </c>
      <c r="C5" s="7" t="n"/>
      <c r="D5" s="6" t="n">
        <v>8</v>
      </c>
      <c r="E5" s="7" t="n"/>
      <c r="F5" s="6" t="n">
        <v>2</v>
      </c>
      <c r="G5" s="7" t="n"/>
      <c r="H5" s="6">
        <f>SUM(F9:F18)</f>
        <v/>
      </c>
      <c r="I5" s="7" t="n"/>
      <c r="J5" s="6">
        <f>SUM(H9:H18)</f>
        <v/>
      </c>
      <c r="K5" s="7" t="n"/>
      <c r="L5" s="6">
        <f>SUM(I9:I18)</f>
        <v/>
      </c>
      <c r="M5" s="7" t="n"/>
      <c r="N5" s="8">
        <f>AVERAGE(K9:K16)</f>
        <v/>
      </c>
      <c r="O5" s="7" t="n"/>
    </row>
    <row r="7">
      <c r="A7" s="9" t="inlineStr">
        <is>
          <t>PRODUCT PORTFOLIO — RAG STATUS (Trajectory vs Plan)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10" t="inlineStr">
        <is>
          <t>Project Name</t>
        </is>
      </c>
      <c r="B8" s="10" t="inlineStr">
        <is>
          <t>Product Chip</t>
        </is>
      </c>
      <c r="C8" s="10" t="inlineStr">
        <is>
          <t>Launch</t>
        </is>
      </c>
      <c r="D8" s="10" t="inlineStr">
        <is>
          <t>Gate</t>
        </is>
      </c>
      <c r="E8" s="10" t="inlineStr">
        <is>
          <t>Status</t>
        </is>
      </c>
      <c r="F8" s="10" t="inlineStr">
        <is>
          <t>Investment (THB)</t>
        </is>
      </c>
      <c r="G8" s="10" t="inlineStr">
        <is>
          <t>BC Rev 23-25</t>
        </is>
      </c>
      <c r="H8" s="10" t="inlineStr">
        <is>
          <t>Actual Rev 23-25</t>
        </is>
      </c>
      <c r="I8" s="10" t="inlineStr">
        <is>
          <t>Variance (THB)</t>
        </is>
      </c>
      <c r="J8" s="10" t="inlineStr">
        <is>
          <t>Trajectory %</t>
        </is>
      </c>
      <c r="K8" s="10" t="inlineStr">
        <is>
          <t>GP %</t>
        </is>
      </c>
      <c r="L8" s="10" t="inlineStr">
        <is>
          <t>BC Payback (Yrs)</t>
        </is>
      </c>
      <c r="M8" s="10" t="inlineStr">
        <is>
          <t>RAG Status</t>
        </is>
      </c>
      <c r="N8" s="10" t="inlineStr">
        <is>
          <t>What's Off</t>
        </is>
      </c>
      <c r="O8" s="10" t="inlineStr">
        <is>
          <t>Why</t>
        </is>
      </c>
      <c r="P8" s="10" t="inlineStr">
        <is>
          <t>Action (Owner/Date)</t>
        </is>
      </c>
      <c r="Q8" s="10" t="inlineStr">
        <is>
          <t>GP RAG</t>
        </is>
      </c>
      <c r="R8" s="10" t="inlineStr">
        <is>
          <t>Payback Signal</t>
        </is>
      </c>
      <c r="S8" s="10" t="inlineStr">
        <is>
          <t>Notes</t>
        </is>
      </c>
    </row>
    <row r="9">
      <c r="A9" s="11" t="inlineStr">
        <is>
          <t>2201D-LFT-FOUP</t>
        </is>
      </c>
      <c r="B9" s="11" t="inlineStr">
        <is>
          <t>SIC73F1</t>
        </is>
      </c>
      <c r="C9" s="11" t="n">
        <v>2023</v>
      </c>
      <c r="D9" s="11" t="inlineStr">
        <is>
          <t>Q-Gate</t>
        </is>
      </c>
      <c r="E9" s="11" t="inlineStr">
        <is>
          <t>Active</t>
        </is>
      </c>
      <c r="F9" s="12" t="n">
        <v>12770584.17</v>
      </c>
      <c r="G9" s="12" t="n">
        <v>73376820</v>
      </c>
      <c r="H9" s="12" t="n">
        <v>64751803.17</v>
      </c>
      <c r="I9" s="13" t="n">
        <v>-8625016.829999998</v>
      </c>
      <c r="J9" s="14" t="n">
        <v>0.8824558378245337</v>
      </c>
      <c r="K9" s="14" t="n">
        <v>0.77</v>
      </c>
      <c r="L9" s="15" t="n">
        <v>0.73</v>
      </c>
      <c r="M9" s="16" t="inlineStr">
        <is>
          <t>GREEN</t>
        </is>
      </c>
      <c r="N9" s="17" t="inlineStr"/>
      <c r="O9" s="17" t="inlineStr"/>
      <c r="P9" s="17" t="inlineStr"/>
      <c r="Q9" s="18" t="inlineStr">
        <is>
          <t>AMBER</t>
        </is>
      </c>
      <c r="R9" s="16" t="inlineStr">
        <is>
          <t>GO</t>
        </is>
      </c>
      <c r="S9" s="11" t="inlineStr"/>
    </row>
    <row r="10">
      <c r="A10" s="11" t="inlineStr">
        <is>
          <t>2218D-SEN-SIC4343</t>
        </is>
      </c>
      <c r="B10" s="11" t="inlineStr">
        <is>
          <t>SIC4343</t>
        </is>
      </c>
      <c r="C10" s="11" t="n">
        <v>2024</v>
      </c>
      <c r="D10" s="11" t="inlineStr">
        <is>
          <t>R-Gate</t>
        </is>
      </c>
      <c r="E10" s="11" t="inlineStr">
        <is>
          <t>Active</t>
        </is>
      </c>
      <c r="F10" s="12" t="n">
        <v>1502835.76</v>
      </c>
      <c r="G10" s="12" t="n">
        <v>2256903</v>
      </c>
      <c r="H10" s="12" t="n">
        <v>63889.62</v>
      </c>
      <c r="I10" s="13" t="n">
        <v>-2193013.38</v>
      </c>
      <c r="J10" s="14" t="n">
        <v>0.02830853607797942</v>
      </c>
      <c r="K10" s="14" t="n">
        <v>0.82</v>
      </c>
      <c r="L10" s="15" t="n">
        <v>1.69</v>
      </c>
      <c r="M10" s="19" t="inlineStr">
        <is>
          <t>RED</t>
        </is>
      </c>
      <c r="N10" s="17" t="inlineStr">
        <is>
          <t>Revenue at 3% of plan (2,193,013 THB gap)</t>
        </is>
      </c>
      <c r="O10" s="17" t="inlineStr">
        <is>
          <t>Structural miss — actual revenue significantly below biz case projections</t>
        </is>
      </c>
      <c r="P10" s="17" t="inlineStr">
        <is>
          <t>Escalate to executive review — assess product viability and market fit (immediate)</t>
        </is>
      </c>
      <c r="Q10" s="16" t="inlineStr">
        <is>
          <t>GREEN</t>
        </is>
      </c>
      <c r="R10" s="19" t="inlineStr">
        <is>
          <t>REVIEW</t>
        </is>
      </c>
      <c r="S10" s="11" t="inlineStr"/>
    </row>
    <row r="11">
      <c r="A11" s="11" t="inlineStr">
        <is>
          <t>2003D-LFT-SIC7805</t>
        </is>
      </c>
      <c r="B11" s="11" t="inlineStr">
        <is>
          <t>SIC7150</t>
        </is>
      </c>
      <c r="C11" s="11" t="n">
        <v>2025</v>
      </c>
      <c r="D11" s="11" t="inlineStr">
        <is>
          <t>RFS-Gate</t>
        </is>
      </c>
      <c r="E11" s="11" t="inlineStr">
        <is>
          <t>Active</t>
        </is>
      </c>
      <c r="F11" s="12" t="n">
        <v>29362606.28</v>
      </c>
      <c r="G11" s="12" t="n">
        <v>0</v>
      </c>
      <c r="H11" s="12" t="n">
        <v>4316345.57</v>
      </c>
      <c r="I11" s="12" t="n">
        <v>4316345.57</v>
      </c>
      <c r="J11" s="14" t="n">
        <v>1</v>
      </c>
      <c r="K11" s="14" t="n">
        <v>0.33</v>
      </c>
      <c r="L11" s="15" t="n">
        <v>1.94</v>
      </c>
      <c r="M11" s="16" t="inlineStr">
        <is>
          <t>GREEN</t>
        </is>
      </c>
      <c r="N11" s="17" t="inlineStr"/>
      <c r="O11" s="17" t="inlineStr">
        <is>
          <t>Revenue ahead of biz case projections</t>
        </is>
      </c>
      <c r="P11" s="17" t="inlineStr"/>
      <c r="Q11" s="16" t="inlineStr">
        <is>
          <t>GREEN</t>
        </is>
      </c>
      <c r="R11" s="19" t="inlineStr">
        <is>
          <t>REVIEW</t>
        </is>
      </c>
      <c r="S11" s="11" t="inlineStr"/>
    </row>
    <row r="12">
      <c r="A12" s="11" t="inlineStr">
        <is>
          <t>1805D-HDX3-SIC379</t>
        </is>
      </c>
      <c r="B12" s="11" t="inlineStr">
        <is>
          <t>SIC379</t>
        </is>
      </c>
      <c r="C12" s="11" t="n">
        <v>2025</v>
      </c>
      <c r="D12" s="11" t="inlineStr">
        <is>
          <t>RFS-Gate</t>
        </is>
      </c>
      <c r="E12" s="11" t="inlineStr">
        <is>
          <t>Active</t>
        </is>
      </c>
      <c r="F12" s="12" t="n">
        <v>17124811.82</v>
      </c>
      <c r="G12" s="12" t="n">
        <v>0</v>
      </c>
      <c r="H12" s="12" t="n">
        <v>11943.84</v>
      </c>
      <c r="I12" s="12" t="n">
        <v>11943.84</v>
      </c>
      <c r="J12" s="14" t="n">
        <v>1</v>
      </c>
      <c r="K12" s="14" t="n">
        <v>0.68</v>
      </c>
      <c r="L12" s="20" t="inlineStr">
        <is>
          <t>N/A</t>
        </is>
      </c>
      <c r="M12" s="16" t="inlineStr">
        <is>
          <t>GREEN</t>
        </is>
      </c>
      <c r="N12" s="17" t="inlineStr"/>
      <c r="O12" s="17" t="inlineStr">
        <is>
          <t>Revenue ahead of biz case projections</t>
        </is>
      </c>
      <c r="P12" s="17" t="inlineStr"/>
      <c r="Q12" s="16" t="inlineStr">
        <is>
          <t>GREEN</t>
        </is>
      </c>
      <c r="R12" s="21" t="inlineStr">
        <is>
          <t>MONITOR</t>
        </is>
      </c>
      <c r="S12" s="11" t="inlineStr"/>
    </row>
    <row r="13">
      <c r="A13" s="11" t="inlineStr">
        <is>
          <t>2406D-CNT-GT12</t>
        </is>
      </c>
      <c r="B13" s="11" t="inlineStr">
        <is>
          <t>SIC279</t>
        </is>
      </c>
      <c r="C13" s="11" t="n">
        <v>2025</v>
      </c>
      <c r="D13" s="11" t="inlineStr">
        <is>
          <t>RFS-Gate</t>
        </is>
      </c>
      <c r="E13" s="11" t="inlineStr">
        <is>
          <t>Active</t>
        </is>
      </c>
      <c r="F13" s="12" t="n">
        <v>4803191.56</v>
      </c>
      <c r="G13" s="12" t="n">
        <v>330000</v>
      </c>
      <c r="H13" s="12" t="n">
        <v>0</v>
      </c>
      <c r="I13" s="13" t="n">
        <v>-330000</v>
      </c>
      <c r="J13" s="14" t="n">
        <v>0</v>
      </c>
      <c r="K13" s="14" t="n">
        <v>0.51</v>
      </c>
      <c r="L13" s="15" t="n">
        <v>5.13</v>
      </c>
      <c r="M13" s="18" t="inlineStr">
        <is>
          <t>AMBER</t>
        </is>
      </c>
      <c r="N13" s="17" t="inlineStr">
        <is>
          <t>Revenue at 0% of plan (330,000 THB gap)</t>
        </is>
      </c>
      <c r="O13" s="17" t="inlineStr">
        <is>
          <t>Recent launch with slower than expected initial traction</t>
        </is>
      </c>
      <c r="P13" s="17" t="inlineStr">
        <is>
          <t>Sales to provide customer status update and revised ramp forecast (next PLM review)</t>
        </is>
      </c>
      <c r="Q13" s="16" t="inlineStr">
        <is>
          <t>GREEN</t>
        </is>
      </c>
      <c r="R13" s="21" t="inlineStr">
        <is>
          <t>MONITOR</t>
        </is>
      </c>
      <c r="S13" s="11" t="inlineStr"/>
    </row>
    <row r="14">
      <c r="A14" s="11" t="inlineStr">
        <is>
          <t>2415D-CNT-Dragon</t>
        </is>
      </c>
      <c r="B14" s="11" t="inlineStr">
        <is>
          <t>SIC72A1</t>
        </is>
      </c>
      <c r="C14" s="11" t="n">
        <v>2025</v>
      </c>
      <c r="D14" s="11" t="inlineStr">
        <is>
          <t>R-Gate</t>
        </is>
      </c>
      <c r="E14" s="11" t="inlineStr">
        <is>
          <t>Active</t>
        </is>
      </c>
      <c r="F14" s="12" t="n">
        <v>1233817.25</v>
      </c>
      <c r="G14" s="12" t="n">
        <v>0</v>
      </c>
      <c r="H14" s="12" t="n">
        <v>167021.43</v>
      </c>
      <c r="I14" s="12" t="n">
        <v>167021.43</v>
      </c>
      <c r="J14" s="14" t="n">
        <v>1</v>
      </c>
      <c r="K14" s="14" t="n">
        <v>0.55</v>
      </c>
      <c r="L14" s="15" t="n">
        <v>2.07</v>
      </c>
      <c r="M14" s="16" t="inlineStr">
        <is>
          <t>GREEN</t>
        </is>
      </c>
      <c r="N14" s="17" t="inlineStr"/>
      <c r="O14" s="17" t="inlineStr">
        <is>
          <t>Revenue ahead of biz case projections</t>
        </is>
      </c>
      <c r="P14" s="17" t="inlineStr"/>
      <c r="Q14" s="16" t="inlineStr">
        <is>
          <t>GREEN</t>
        </is>
      </c>
      <c r="R14" s="19" t="inlineStr">
        <is>
          <t>REVIEW</t>
        </is>
      </c>
      <c r="S14" s="11" t="inlineStr"/>
    </row>
    <row r="15">
      <c r="A15" s="11" t="inlineStr">
        <is>
          <t>2417D-CNT-Marlin</t>
        </is>
      </c>
      <c r="B15" s="11" t="inlineStr">
        <is>
          <t>SIC72A2</t>
        </is>
      </c>
      <c r="C15" s="11" t="n">
        <v>2025</v>
      </c>
      <c r="D15" s="11" t="inlineStr">
        <is>
          <t>RFS-Gate</t>
        </is>
      </c>
      <c r="E15" s="11" t="inlineStr">
        <is>
          <t>Active</t>
        </is>
      </c>
      <c r="F15" s="12" t="n">
        <v>12736607.06</v>
      </c>
      <c r="G15" s="12" t="n">
        <v>0</v>
      </c>
      <c r="H15" s="12" t="n">
        <v>164328.58</v>
      </c>
      <c r="I15" s="12" t="n">
        <v>164328.58</v>
      </c>
      <c r="J15" s="14" t="n">
        <v>1</v>
      </c>
      <c r="K15" s="14" t="n">
        <v>0.32</v>
      </c>
      <c r="L15" s="20" t="inlineStr">
        <is>
          <t>N/A</t>
        </is>
      </c>
      <c r="M15" s="16" t="inlineStr">
        <is>
          <t>GREEN</t>
        </is>
      </c>
      <c r="N15" s="17" t="inlineStr"/>
      <c r="O15" s="17" t="inlineStr">
        <is>
          <t>Revenue ahead of biz case projections</t>
        </is>
      </c>
      <c r="P15" s="17" t="inlineStr"/>
      <c r="Q15" s="16" t="inlineStr">
        <is>
          <t>GREEN</t>
        </is>
      </c>
      <c r="R15" s="21" t="inlineStr">
        <is>
          <t>MONITOR</t>
        </is>
      </c>
      <c r="S15" s="11" t="inlineStr"/>
    </row>
    <row r="16">
      <c r="A16" s="11" t="inlineStr">
        <is>
          <t>2112D-CNT-NFCV</t>
        </is>
      </c>
      <c r="B16" s="11" t="inlineStr">
        <is>
          <t>SIC56NL</t>
        </is>
      </c>
      <c r="C16" s="11" t="n">
        <v>2025</v>
      </c>
      <c r="D16" s="11" t="inlineStr">
        <is>
          <t>D3-Gate</t>
        </is>
      </c>
      <c r="E16" s="11" t="inlineStr">
        <is>
          <t>Active</t>
        </is>
      </c>
      <c r="F16" s="12" t="n">
        <v>34918209.75</v>
      </c>
      <c r="G16" s="12" t="n">
        <v>0</v>
      </c>
      <c r="H16" s="12" t="n">
        <v>19000</v>
      </c>
      <c r="I16" s="12" t="n">
        <v>19000</v>
      </c>
      <c r="J16" s="14" t="n">
        <v>1</v>
      </c>
      <c r="K16" s="14" t="n">
        <v>0.49</v>
      </c>
      <c r="L16" s="15" t="n">
        <v>2.42</v>
      </c>
      <c r="M16" s="16" t="inlineStr">
        <is>
          <t>GREEN</t>
        </is>
      </c>
      <c r="N16" s="17" t="inlineStr"/>
      <c r="O16" s="17" t="inlineStr">
        <is>
          <t>Revenue ahead of biz case projections</t>
        </is>
      </c>
      <c r="P16" s="17" t="inlineStr"/>
      <c r="Q16" s="16" t="inlineStr">
        <is>
          <t>GREEN</t>
        </is>
      </c>
      <c r="R16" s="21" t="inlineStr">
        <is>
          <t>MONITOR</t>
        </is>
      </c>
      <c r="S16" s="11" t="inlineStr"/>
    </row>
    <row r="17">
      <c r="A17" s="11" t="inlineStr">
        <is>
          <t>2101R-SEN-4340BT</t>
        </is>
      </c>
      <c r="B17" s="11" t="inlineStr">
        <is>
          <t>SIC824B</t>
        </is>
      </c>
      <c r="C17" s="11" t="n">
        <v>2023</v>
      </c>
      <c r="D17" s="11" t="inlineStr">
        <is>
          <t>N/A</t>
        </is>
      </c>
      <c r="E17" s="11" t="inlineStr">
        <is>
          <t>Research</t>
        </is>
      </c>
      <c r="F17" s="12" t="n">
        <v>0</v>
      </c>
      <c r="G17" s="12" t="n">
        <v>0</v>
      </c>
      <c r="H17" s="12" t="n">
        <v>121291.41</v>
      </c>
      <c r="I17" s="12" t="n">
        <v>121291.41</v>
      </c>
      <c r="J17" s="14" t="n">
        <v>1</v>
      </c>
      <c r="K17" s="14" t="n">
        <v>0</v>
      </c>
      <c r="L17" s="15" t="n">
        <v>2.28</v>
      </c>
      <c r="M17" s="22" t="inlineStr">
        <is>
          <t>N/A</t>
        </is>
      </c>
      <c r="N17" s="17" t="inlineStr"/>
      <c r="O17" s="17" t="inlineStr"/>
      <c r="P17" s="17" t="inlineStr"/>
      <c r="Q17" s="19" t="inlineStr">
        <is>
          <t>RED</t>
        </is>
      </c>
      <c r="R17" s="16" t="inlineStr">
        <is>
          <t>GO</t>
        </is>
      </c>
      <c r="S17" s="11" t="inlineStr">
        <is>
          <t>Changed to Research project</t>
        </is>
      </c>
    </row>
    <row r="18">
      <c r="A18" s="11" t="inlineStr">
        <is>
          <t>2411D-AUT-73WR</t>
        </is>
      </c>
      <c r="B18" s="11" t="inlineStr">
        <is>
          <t>SIC73WR</t>
        </is>
      </c>
      <c r="C18" s="11" t="n">
        <v>2024</v>
      </c>
      <c r="D18" s="11" t="inlineStr">
        <is>
          <t>Q/R-Gate</t>
        </is>
      </c>
      <c r="E18" s="11" t="inlineStr">
        <is>
          <t>Research</t>
        </is>
      </c>
      <c r="F18" s="12" t="n">
        <v>264449.5</v>
      </c>
      <c r="G18" s="12" t="n">
        <v>0</v>
      </c>
      <c r="H18" s="12" t="n">
        <v>0</v>
      </c>
      <c r="I18" s="12" t="n">
        <v>0</v>
      </c>
      <c r="J18" s="14" t="n">
        <v>0</v>
      </c>
      <c r="K18" s="14" t="n">
        <v>0</v>
      </c>
      <c r="L18" s="15" t="n">
        <v>3.51</v>
      </c>
      <c r="M18" s="22" t="inlineStr">
        <is>
          <t>N/A</t>
        </is>
      </c>
      <c r="N18" s="17" t="inlineStr"/>
      <c r="O18" s="17" t="inlineStr"/>
      <c r="P18" s="17" t="inlineStr"/>
      <c r="Q18" s="19" t="inlineStr">
        <is>
          <t>RED</t>
        </is>
      </c>
      <c r="R18" s="16" t="inlineStr">
        <is>
          <t>GO</t>
        </is>
      </c>
      <c r="S18" s="11" t="inlineStr">
        <is>
          <t>Changed to Research project</t>
        </is>
      </c>
    </row>
  </sheetData>
  <mergeCells count="17">
    <mergeCell ref="F4:G4"/>
    <mergeCell ref="J4:K4"/>
    <mergeCell ref="A2:S2"/>
    <mergeCell ref="L4:M4"/>
    <mergeCell ref="J5:K5"/>
    <mergeCell ref="B5:C5"/>
    <mergeCell ref="F5:G5"/>
    <mergeCell ref="A1:S1"/>
    <mergeCell ref="D5:E5"/>
    <mergeCell ref="H5:I5"/>
    <mergeCell ref="D4:E4"/>
    <mergeCell ref="L5:M5"/>
    <mergeCell ref="H4:I4"/>
    <mergeCell ref="N5:O5"/>
    <mergeCell ref="B4:C4"/>
    <mergeCell ref="N4:O4"/>
    <mergeCell ref="A7:S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Q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8" customWidth="1" min="4" max="4"/>
    <col width="16" customWidth="1" min="5" max="5"/>
    <col width="14" customWidth="1" min="6" max="6"/>
    <col width="16" customWidth="1" min="7" max="7"/>
    <col width="10" customWidth="1" min="8" max="8"/>
    <col width="20" customWidth="1" min="9" max="9"/>
    <col width="12" customWidth="1" min="10" max="10"/>
    <col width="14" customWidth="1" min="11" max="11"/>
    <col width="10" customWidth="1" min="12" max="12"/>
    <col width="12" customWidth="1" min="13" max="13"/>
    <col width="28" customWidth="1" min="14" max="14"/>
    <col width="32" customWidth="1" min="15" max="15"/>
    <col width="36" customWidth="1" min="16" max="16"/>
    <col width="16" customWidth="1" min="17" max="17"/>
  </cols>
  <sheetData>
    <row r="1" ht="30" customHeight="1">
      <c r="A1" s="1" t="inlineStr">
        <is>
          <t>PAYBACK PERIOD: BIZ CASE vs CURRENT PROJECTION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RAG = trajectory vs biz case payback target | No Orphan Reds: every AMBER/RED has commentary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4">
      <c r="A4" s="10" t="inlineStr">
        <is>
          <t>Product</t>
        </is>
      </c>
      <c r="B4" s="10" t="inlineStr">
        <is>
          <t>Chip</t>
        </is>
      </c>
      <c r="C4" s="10" t="inlineStr">
        <is>
          <t>Gate</t>
        </is>
      </c>
      <c r="D4" s="10" t="inlineStr">
        <is>
          <t>Investment (THB)</t>
        </is>
      </c>
      <c r="E4" s="10" t="inlineStr">
        <is>
          <t>Investment (USD)</t>
        </is>
      </c>
      <c r="F4" s="10" t="inlineStr">
        <is>
          <t>BC Payback (Yrs)</t>
        </is>
      </c>
      <c r="G4" s="10" t="inlineStr">
        <is>
          <t>BC Disc. Payback (Yrs)</t>
        </is>
      </c>
      <c r="H4" s="10" t="inlineStr">
        <is>
          <t>Months Active</t>
        </is>
      </c>
      <c r="I4" s="10" t="inlineStr">
        <is>
          <t>Actual Rev (THB)</t>
        </is>
      </c>
      <c r="J4" s="10" t="inlineStr">
        <is>
          <t>Rev Recovery %</t>
        </is>
      </c>
      <c r="K4" s="10" t="inlineStr">
        <is>
          <t>Current Pace (Yrs)</t>
        </is>
      </c>
      <c r="L4" s="10" t="inlineStr">
        <is>
          <t>RAG</t>
        </is>
      </c>
      <c r="M4" s="10" t="inlineStr">
        <is>
          <t>Go/No-Go</t>
        </is>
      </c>
      <c r="N4" s="10" t="inlineStr">
        <is>
          <t>What's Off</t>
        </is>
      </c>
      <c r="O4" s="10" t="inlineStr">
        <is>
          <t>Why</t>
        </is>
      </c>
      <c r="P4" s="10" t="inlineStr">
        <is>
          <t>Action (Owner/Date)</t>
        </is>
      </c>
      <c r="Q4" s="10" t="inlineStr">
        <is>
          <t>Notes</t>
        </is>
      </c>
    </row>
    <row r="5">
      <c r="A5" s="11" t="inlineStr">
        <is>
          <t>2201D-LFT-FOUP</t>
        </is>
      </c>
      <c r="B5" s="11" t="inlineStr">
        <is>
          <t>SIC73F1</t>
        </is>
      </c>
      <c r="C5" s="11" t="inlineStr">
        <is>
          <t>Q-Gate</t>
        </is>
      </c>
      <c r="D5" s="12" t="n">
        <v>12770584.17</v>
      </c>
      <c r="E5" s="23" t="n">
        <v>386987.3990909091</v>
      </c>
      <c r="F5" s="15" t="n">
        <v>0.73</v>
      </c>
      <c r="G5" s="15" t="n">
        <v>0.8100000000000001</v>
      </c>
      <c r="H5" s="24" t="n">
        <v>32</v>
      </c>
      <c r="I5" s="12" t="n">
        <v>64751803.17</v>
      </c>
      <c r="J5" s="14" t="n">
        <v>5.070386938297749</v>
      </c>
      <c r="K5" s="20" t="n">
        <v>0.5</v>
      </c>
      <c r="L5" s="16" t="inlineStr">
        <is>
          <t>GREEN</t>
        </is>
      </c>
      <c r="M5" s="25" t="inlineStr">
        <is>
          <t>GO</t>
        </is>
      </c>
      <c r="N5" s="17" t="inlineStr"/>
      <c r="O5" s="17" t="inlineStr"/>
      <c r="P5" s="17" t="inlineStr"/>
      <c r="Q5" s="11" t="inlineStr"/>
    </row>
    <row r="6">
      <c r="A6" s="11" t="inlineStr">
        <is>
          <t>2218D-SEN-SIC4343</t>
        </is>
      </c>
      <c r="B6" s="11" t="inlineStr">
        <is>
          <t>SIC4343</t>
        </is>
      </c>
      <c r="C6" s="11" t="inlineStr">
        <is>
          <t>R-Gate</t>
        </is>
      </c>
      <c r="D6" s="12" t="n">
        <v>1502835.76</v>
      </c>
      <c r="E6" s="23" t="n">
        <v>45540.47757575758</v>
      </c>
      <c r="F6" s="15" t="n">
        <v>1.69</v>
      </c>
      <c r="G6" s="15" t="n">
        <v>1.91</v>
      </c>
      <c r="H6" s="24" t="n">
        <v>20</v>
      </c>
      <c r="I6" s="12" t="n">
        <v>63889.62</v>
      </c>
      <c r="J6" s="14" t="n">
        <v>0.04251270943938677</v>
      </c>
      <c r="K6" s="20" t="n">
        <v>39.2</v>
      </c>
      <c r="L6" s="19" t="inlineStr">
        <is>
          <t>RED</t>
        </is>
      </c>
      <c r="M6" s="26" t="inlineStr">
        <is>
          <t>REVIEW</t>
        </is>
      </c>
      <c r="N6" s="17" t="inlineStr">
        <is>
          <t>Payback pace 39.2yr vs target 1.7yr (+37.5yr)</t>
        </is>
      </c>
      <c r="O6" s="17" t="inlineStr">
        <is>
          <t>Revenue trajectory not supporting investment recovery within acceptable timeframe</t>
        </is>
      </c>
      <c r="P6" s="17" t="inlineStr">
        <is>
          <t>Executive review of product viability — consider restructure or exit (within 30 days)</t>
        </is>
      </c>
      <c r="Q6" s="11" t="inlineStr"/>
    </row>
    <row r="7">
      <c r="A7" s="11" t="inlineStr">
        <is>
          <t>2003D-LFT-SIC7805</t>
        </is>
      </c>
      <c r="B7" s="11" t="inlineStr">
        <is>
          <t>SIC7150</t>
        </is>
      </c>
      <c r="C7" s="11" t="inlineStr">
        <is>
          <t>RFS-Gate</t>
        </is>
      </c>
      <c r="D7" s="12" t="n">
        <v>29362606.28</v>
      </c>
      <c r="E7" s="23" t="n">
        <v>889775.9478787879</v>
      </c>
      <c r="F7" s="15" t="n">
        <v>1.94</v>
      </c>
      <c r="G7" s="15" t="n">
        <v>2.33</v>
      </c>
      <c r="H7" s="24" t="n">
        <v>8</v>
      </c>
      <c r="I7" s="12" t="n">
        <v>4316345.57</v>
      </c>
      <c r="J7" s="14" t="n">
        <v>0.1470014456087309</v>
      </c>
      <c r="K7" s="20" t="n">
        <v>4.5</v>
      </c>
      <c r="L7" s="19" t="inlineStr">
        <is>
          <t>RED</t>
        </is>
      </c>
      <c r="M7" s="26" t="inlineStr">
        <is>
          <t>REVIEW</t>
        </is>
      </c>
      <c r="N7" s="17" t="inlineStr">
        <is>
          <t>Payback pace 4.5yr vs target 1.9yr (+2.6yr)</t>
        </is>
      </c>
      <c r="O7" s="17" t="inlineStr">
        <is>
          <t>Revenue trajectory not supporting investment recovery within acceptable timeframe</t>
        </is>
      </c>
      <c r="P7" s="17" t="inlineStr">
        <is>
          <t>Executive review of product viability — consider restructure or exit (within 30 days)</t>
        </is>
      </c>
      <c r="Q7" s="11" t="inlineStr"/>
    </row>
    <row r="8">
      <c r="A8" s="11" t="inlineStr">
        <is>
          <t>1805D-HDX3-SIC379</t>
        </is>
      </c>
      <c r="B8" s="11" t="inlineStr">
        <is>
          <t>SIC379</t>
        </is>
      </c>
      <c r="C8" s="11" t="inlineStr">
        <is>
          <t>RFS-Gate</t>
        </is>
      </c>
      <c r="D8" s="12" t="n">
        <v>17124811.82</v>
      </c>
      <c r="E8" s="23" t="n">
        <v>518933.6915151515</v>
      </c>
      <c r="F8" s="20" t="inlineStr">
        <is>
          <t>N/A</t>
        </is>
      </c>
      <c r="G8" s="20" t="inlineStr">
        <is>
          <t>N/A</t>
        </is>
      </c>
      <c r="H8" s="24" t="n">
        <v>8</v>
      </c>
      <c r="I8" s="12" t="n">
        <v>11943.84</v>
      </c>
      <c r="J8" s="14" t="n">
        <v>0.0006974581750469711</v>
      </c>
      <c r="K8" s="20" t="inlineStr">
        <is>
          <t>N/A</t>
        </is>
      </c>
      <c r="L8" s="16" t="inlineStr">
        <is>
          <t>GREEN</t>
        </is>
      </c>
      <c r="M8" s="27" t="inlineStr">
        <is>
          <t>MONITOR</t>
        </is>
      </c>
      <c r="N8" s="17" t="inlineStr"/>
      <c r="O8" s="17" t="inlineStr">
        <is>
          <t>Early stage — insufficient data for payback projection</t>
        </is>
      </c>
      <c r="P8" s="17" t="inlineStr"/>
      <c r="Q8" s="11" t="inlineStr"/>
    </row>
    <row r="9">
      <c r="A9" s="11" t="inlineStr">
        <is>
          <t>2406D-CNT-GT12</t>
        </is>
      </c>
      <c r="B9" s="11" t="inlineStr">
        <is>
          <t>SIC279</t>
        </is>
      </c>
      <c r="C9" s="11" t="inlineStr">
        <is>
          <t>RFS-Gate</t>
        </is>
      </c>
      <c r="D9" s="12" t="n">
        <v>4803191.56</v>
      </c>
      <c r="E9" s="23" t="n">
        <v>145551.2593939394</v>
      </c>
      <c r="F9" s="15" t="n">
        <v>5.13</v>
      </c>
      <c r="G9" s="15" t="n">
        <v>6.86</v>
      </c>
      <c r="H9" s="24" t="n">
        <v>8</v>
      </c>
      <c r="I9" s="12" t="n">
        <v>0</v>
      </c>
      <c r="J9" s="14" t="n">
        <v>0</v>
      </c>
      <c r="K9" s="20" t="inlineStr">
        <is>
          <t>N/A</t>
        </is>
      </c>
      <c r="L9" s="16" t="inlineStr">
        <is>
          <t>GREEN</t>
        </is>
      </c>
      <c r="M9" s="27" t="inlineStr">
        <is>
          <t>MONITOR</t>
        </is>
      </c>
      <c r="N9" s="17" t="inlineStr"/>
      <c r="O9" s="17" t="inlineStr">
        <is>
          <t>Early stage — insufficient data for payback projection</t>
        </is>
      </c>
      <c r="P9" s="17" t="inlineStr"/>
      <c r="Q9" s="11" t="inlineStr"/>
    </row>
    <row r="10">
      <c r="A10" s="11" t="inlineStr">
        <is>
          <t>2415D-CNT-Dragon</t>
        </is>
      </c>
      <c r="B10" s="11" t="inlineStr">
        <is>
          <t>SIC72A1</t>
        </is>
      </c>
      <c r="C10" s="11" t="inlineStr">
        <is>
          <t>R-Gate</t>
        </is>
      </c>
      <c r="D10" s="12" t="n">
        <v>1233817.25</v>
      </c>
      <c r="E10" s="23" t="n">
        <v>37388.40151515151</v>
      </c>
      <c r="F10" s="15" t="n">
        <v>2.07</v>
      </c>
      <c r="G10" s="15" t="n">
        <v>2.16</v>
      </c>
      <c r="H10" s="24" t="n">
        <v>8</v>
      </c>
      <c r="I10" s="12" t="n">
        <v>167021.43</v>
      </c>
      <c r="J10" s="14" t="n">
        <v>0.1353696667800681</v>
      </c>
      <c r="K10" s="20" t="n">
        <v>4.9</v>
      </c>
      <c r="L10" s="19" t="inlineStr">
        <is>
          <t>RED</t>
        </is>
      </c>
      <c r="M10" s="26" t="inlineStr">
        <is>
          <t>REVIEW</t>
        </is>
      </c>
      <c r="N10" s="17" t="inlineStr">
        <is>
          <t>Payback pace 4.9yr vs target 2.1yr (+2.8yr)</t>
        </is>
      </c>
      <c r="O10" s="17" t="inlineStr">
        <is>
          <t>Revenue trajectory not supporting investment recovery within acceptable timeframe</t>
        </is>
      </c>
      <c r="P10" s="17" t="inlineStr">
        <is>
          <t>Executive review of product viability — consider restructure or exit (within 30 days)</t>
        </is>
      </c>
      <c r="Q10" s="11" t="inlineStr"/>
    </row>
    <row r="11">
      <c r="A11" s="11" t="inlineStr">
        <is>
          <t>2417D-CNT-Marlin</t>
        </is>
      </c>
      <c r="B11" s="11" t="inlineStr">
        <is>
          <t>SIC72A2</t>
        </is>
      </c>
      <c r="C11" s="11" t="inlineStr">
        <is>
          <t>RFS-Gate</t>
        </is>
      </c>
      <c r="D11" s="12" t="n">
        <v>12736607.06</v>
      </c>
      <c r="E11" s="23" t="n">
        <v>385957.7896969697</v>
      </c>
      <c r="F11" s="20" t="inlineStr">
        <is>
          <t>N/A</t>
        </is>
      </c>
      <c r="G11" s="20" t="inlineStr">
        <is>
          <t>N/A</t>
        </is>
      </c>
      <c r="H11" s="24" t="n">
        <v>8</v>
      </c>
      <c r="I11" s="12" t="n">
        <v>164328.58</v>
      </c>
      <c r="J11" s="14" t="n">
        <v>0.01290206875550732</v>
      </c>
      <c r="K11" s="20" t="n">
        <v>51.6</v>
      </c>
      <c r="L11" s="16" t="inlineStr">
        <is>
          <t>GREEN</t>
        </is>
      </c>
      <c r="M11" s="27" t="inlineStr">
        <is>
          <t>MONITOR</t>
        </is>
      </c>
      <c r="N11" s="17" t="inlineStr"/>
      <c r="O11" s="17" t="inlineStr">
        <is>
          <t>Early stage — insufficient data for payback projection</t>
        </is>
      </c>
      <c r="P11" s="17" t="inlineStr"/>
      <c r="Q11" s="11" t="inlineStr"/>
    </row>
    <row r="12">
      <c r="A12" s="11" t="inlineStr">
        <is>
          <t>2112D-CNT-NFCV</t>
        </is>
      </c>
      <c r="B12" s="11" t="inlineStr">
        <is>
          <t>SIC56NL</t>
        </is>
      </c>
      <c r="C12" s="11" t="inlineStr">
        <is>
          <t>D3-Gate</t>
        </is>
      </c>
      <c r="D12" s="12" t="n">
        <v>34918209.75</v>
      </c>
      <c r="E12" s="23" t="n">
        <v>1058127.568181818</v>
      </c>
      <c r="F12" s="15" t="n">
        <v>2.42</v>
      </c>
      <c r="G12" s="15" t="n">
        <v>2.72</v>
      </c>
      <c r="H12" s="24" t="n">
        <v>8</v>
      </c>
      <c r="I12" s="12" t="n">
        <v>19000</v>
      </c>
      <c r="J12" s="14" t="n">
        <v>0.000544128697777812</v>
      </c>
      <c r="K12" s="20" t="inlineStr">
        <is>
          <t>N/A</t>
        </is>
      </c>
      <c r="L12" s="16" t="inlineStr">
        <is>
          <t>GREEN</t>
        </is>
      </c>
      <c r="M12" s="27" t="inlineStr">
        <is>
          <t>MONITOR</t>
        </is>
      </c>
      <c r="N12" s="17" t="inlineStr"/>
      <c r="O12" s="17" t="inlineStr">
        <is>
          <t>Early stage — insufficient data for payback projection</t>
        </is>
      </c>
      <c r="P12" s="17" t="inlineStr"/>
      <c r="Q12" s="11" t="inlineStr"/>
    </row>
  </sheetData>
  <mergeCells count="2">
    <mergeCell ref="A2:Q2"/>
    <mergeCell ref="A1:Q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0" customWidth="1" min="10" max="10"/>
    <col width="10" customWidth="1" min="11" max="11"/>
    <col width="10" customWidth="1" min="12" max="12"/>
    <col width="28" customWidth="1" min="13" max="13"/>
    <col width="36" customWidth="1" min="14" max="14"/>
  </cols>
  <sheetData>
    <row r="1" ht="30" customHeight="1">
      <c r="A1" s="1" t="inlineStr">
        <is>
          <t>REVENUE TRACKING: BIZ CASE vs ACTUAL (Trajectory View)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10" t="inlineStr">
        <is>
          <t>Product</t>
        </is>
      </c>
      <c r="B3" s="10" t="inlineStr">
        <is>
          <t>Chip</t>
        </is>
      </c>
      <c r="C3" s="10" t="inlineStr">
        <is>
          <t>2023 BC</t>
        </is>
      </c>
      <c r="D3" s="10" t="inlineStr">
        <is>
          <t>2023 Actual</t>
        </is>
      </c>
      <c r="E3" s="10" t="inlineStr">
        <is>
          <t>2024 BC</t>
        </is>
      </c>
      <c r="F3" s="10" t="inlineStr">
        <is>
          <t>2024 Actual</t>
        </is>
      </c>
      <c r="G3" s="10" t="inlineStr">
        <is>
          <t>2025 BC</t>
        </is>
      </c>
      <c r="H3" s="10" t="inlineStr">
        <is>
          <t>2025 Actual</t>
        </is>
      </c>
      <c r="I3" s="10" t="inlineStr">
        <is>
          <t>Total BC</t>
        </is>
      </c>
      <c r="J3" s="10" t="inlineStr">
        <is>
          <t>Total Actual</t>
        </is>
      </c>
      <c r="K3" s="10" t="inlineStr">
        <is>
          <t>Trajectory %</t>
        </is>
      </c>
      <c r="L3" s="10" t="inlineStr">
        <is>
          <t>RAG</t>
        </is>
      </c>
      <c r="M3" s="10" t="inlineStr">
        <is>
          <t>What's Off</t>
        </is>
      </c>
      <c r="N3" s="10" t="inlineStr">
        <is>
          <t>Action</t>
        </is>
      </c>
    </row>
    <row r="4">
      <c r="A4" s="11" t="inlineStr">
        <is>
          <t>2201D-LFT-FOUP</t>
        </is>
      </c>
      <c r="B4" s="11" t="inlineStr">
        <is>
          <t>SIC73F1</t>
        </is>
      </c>
      <c r="C4" s="12" t="n">
        <v>15963024</v>
      </c>
      <c r="D4" s="12" t="n">
        <v>17055383.17</v>
      </c>
      <c r="E4" s="12" t="n">
        <v>23693703</v>
      </c>
      <c r="F4" s="12" t="n">
        <v>25333390</v>
      </c>
      <c r="G4" s="12" t="n">
        <v>33720093</v>
      </c>
      <c r="H4" s="12" t="n">
        <v>22363030</v>
      </c>
      <c r="I4" s="12" t="n">
        <v>73376820</v>
      </c>
      <c r="J4" s="12" t="n">
        <v>64751803.17</v>
      </c>
      <c r="K4" s="14" t="n">
        <v>0.8824558378245337</v>
      </c>
      <c r="L4" s="16" t="inlineStr">
        <is>
          <t>GREEN</t>
        </is>
      </c>
      <c r="M4" s="17" t="inlineStr"/>
      <c r="N4" s="17" t="inlineStr"/>
    </row>
    <row r="5">
      <c r="A5" s="11" t="inlineStr">
        <is>
          <t>2218D-SEN-SIC4343</t>
        </is>
      </c>
      <c r="B5" s="11" t="inlineStr">
        <is>
          <t>SIC4343</t>
        </is>
      </c>
      <c r="C5" s="12" t="n">
        <v>0</v>
      </c>
      <c r="D5" s="12" t="n">
        <v>43625.24</v>
      </c>
      <c r="E5" s="12" t="n">
        <v>641520</v>
      </c>
      <c r="F5" s="12" t="n">
        <v>20264.38</v>
      </c>
      <c r="G5" s="12" t="n">
        <v>1615383</v>
      </c>
      <c r="H5" s="12" t="n">
        <v>0</v>
      </c>
      <c r="I5" s="12" t="n">
        <v>2256903</v>
      </c>
      <c r="J5" s="12" t="n">
        <v>63889.62</v>
      </c>
      <c r="K5" s="14" t="n">
        <v>0.02830853607797942</v>
      </c>
      <c r="L5" s="19" t="inlineStr">
        <is>
          <t>RED</t>
        </is>
      </c>
      <c r="M5" s="17" t="inlineStr">
        <is>
          <t>Revenue at 3% of plan (2,193,013 THB gap)</t>
        </is>
      </c>
      <c r="N5" s="17" t="inlineStr">
        <is>
          <t>Escalate to executive review — assess product viability and market fit (immediate)</t>
        </is>
      </c>
    </row>
    <row r="6">
      <c r="A6" s="11" t="inlineStr">
        <is>
          <t>2003D-LFT-SIC7805</t>
        </is>
      </c>
      <c r="B6" s="11" t="inlineStr">
        <is>
          <t>SIC7150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4316345.57</v>
      </c>
      <c r="I6" s="12" t="n">
        <v>0</v>
      </c>
      <c r="J6" s="12" t="n">
        <v>4316345.57</v>
      </c>
      <c r="K6" s="14" t="n">
        <v>1</v>
      </c>
      <c r="L6" s="16" t="inlineStr">
        <is>
          <t>GREEN</t>
        </is>
      </c>
      <c r="M6" s="17" t="inlineStr"/>
      <c r="N6" s="17" t="inlineStr"/>
    </row>
    <row r="7">
      <c r="A7" s="11" t="inlineStr">
        <is>
          <t>1805D-HDX3-SIC379</t>
        </is>
      </c>
      <c r="B7" s="11" t="inlineStr">
        <is>
          <t>SIC379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11943.84</v>
      </c>
      <c r="I7" s="12" t="n">
        <v>0</v>
      </c>
      <c r="J7" s="12" t="n">
        <v>11943.84</v>
      </c>
      <c r="K7" s="14" t="n">
        <v>1</v>
      </c>
      <c r="L7" s="16" t="inlineStr">
        <is>
          <t>GREEN</t>
        </is>
      </c>
      <c r="M7" s="17" t="inlineStr"/>
      <c r="N7" s="17" t="inlineStr"/>
    </row>
    <row r="8">
      <c r="A8" s="11" t="inlineStr">
        <is>
          <t>2406D-CNT-GT12</t>
        </is>
      </c>
      <c r="B8" s="11" t="inlineStr">
        <is>
          <t>SIC279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330000</v>
      </c>
      <c r="H8" s="12" t="n">
        <v>0</v>
      </c>
      <c r="I8" s="12" t="n">
        <v>330000</v>
      </c>
      <c r="J8" s="12" t="n">
        <v>0</v>
      </c>
      <c r="K8" s="14" t="n">
        <v>0</v>
      </c>
      <c r="L8" s="18" t="inlineStr">
        <is>
          <t>AMBER</t>
        </is>
      </c>
      <c r="M8" s="17" t="inlineStr">
        <is>
          <t>Revenue at 0% of plan (330,000 THB gap)</t>
        </is>
      </c>
      <c r="N8" s="17" t="inlineStr">
        <is>
          <t>Sales to provide customer status update and revised ramp forecast (next PLM review)</t>
        </is>
      </c>
    </row>
    <row r="9">
      <c r="A9" s="11" t="inlineStr">
        <is>
          <t>2415D-CNT-Dragon</t>
        </is>
      </c>
      <c r="B9" s="11" t="inlineStr">
        <is>
          <t>SIC72A1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167021.43</v>
      </c>
      <c r="I9" s="12" t="n">
        <v>0</v>
      </c>
      <c r="J9" s="12" t="n">
        <v>167021.43</v>
      </c>
      <c r="K9" s="14" t="n">
        <v>1</v>
      </c>
      <c r="L9" s="16" t="inlineStr">
        <is>
          <t>GREEN</t>
        </is>
      </c>
      <c r="M9" s="17" t="inlineStr"/>
      <c r="N9" s="17" t="inlineStr"/>
    </row>
    <row r="10">
      <c r="A10" s="11" t="inlineStr">
        <is>
          <t>2417D-CNT-Marlin</t>
        </is>
      </c>
      <c r="B10" s="11" t="inlineStr">
        <is>
          <t>SIC72A2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164328.58</v>
      </c>
      <c r="I10" s="12" t="n">
        <v>0</v>
      </c>
      <c r="J10" s="12" t="n">
        <v>164328.58</v>
      </c>
      <c r="K10" s="14" t="n">
        <v>1</v>
      </c>
      <c r="L10" s="16" t="inlineStr">
        <is>
          <t>GREEN</t>
        </is>
      </c>
      <c r="M10" s="17" t="inlineStr"/>
      <c r="N10" s="17" t="inlineStr"/>
    </row>
    <row r="11">
      <c r="A11" s="11" t="inlineStr">
        <is>
          <t>2112D-CNT-NFCV</t>
        </is>
      </c>
      <c r="B11" s="11" t="inlineStr">
        <is>
          <t>SIC56NL</t>
        </is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19000</v>
      </c>
      <c r="I11" s="12" t="n">
        <v>0</v>
      </c>
      <c r="J11" s="12" t="n">
        <v>19000</v>
      </c>
      <c r="K11" s="14" t="n">
        <v>1</v>
      </c>
      <c r="L11" s="16" t="inlineStr">
        <is>
          <t>GREEN</t>
        </is>
      </c>
      <c r="M11" s="17" t="inlineStr"/>
      <c r="N11" s="17" t="inlineStr"/>
    </row>
    <row r="14">
      <c r="A14" s="9" t="inlineStr">
        <is>
          <t>FORWARD FORECAST (Biz Case Projections 2026-2030)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8" t="inlineStr">
        <is>
          <t>Product</t>
        </is>
      </c>
      <c r="B15" s="28" t="inlineStr">
        <is>
          <t>Chip</t>
        </is>
      </c>
      <c r="C15" s="28" t="inlineStr">
        <is>
          <t>2026</t>
        </is>
      </c>
      <c r="D15" s="28" t="inlineStr">
        <is>
          <t>2027</t>
        </is>
      </c>
      <c r="E15" s="28" t="inlineStr">
        <is>
          <t>2028</t>
        </is>
      </c>
      <c r="F15" s="28" t="inlineStr">
        <is>
          <t>2029</t>
        </is>
      </c>
      <c r="G15" s="28" t="inlineStr">
        <is>
          <t>2030</t>
        </is>
      </c>
      <c r="H15" s="28" t="inlineStr">
        <is>
          <t>Total Fwd</t>
        </is>
      </c>
      <c r="I15" s="28" t="inlineStr">
        <is>
          <t>Cumulative</t>
        </is>
      </c>
      <c r="J15" s="28" t="inlineStr">
        <is>
          <t>Investment</t>
        </is>
      </c>
      <c r="K15" s="28" t="inlineStr">
        <is>
          <t>Proj ROI</t>
        </is>
      </c>
      <c r="L15" s="28" t="inlineStr">
        <is>
          <t>Lifetime RAG</t>
        </is>
      </c>
      <c r="M15" s="28" t="inlineStr">
        <is>
          <t>What's Off</t>
        </is>
      </c>
      <c r="N15" s="28" t="inlineStr">
        <is>
          <t>Action</t>
        </is>
      </c>
    </row>
    <row r="16">
      <c r="A16" s="11" t="inlineStr">
        <is>
          <t>2201D-LFT-FOUP</t>
        </is>
      </c>
      <c r="B16" s="11" t="inlineStr">
        <is>
          <t>SIC73F1</t>
        </is>
      </c>
      <c r="C16" s="12" t="n">
        <v>118455777</v>
      </c>
      <c r="D16" s="12" t="n">
        <v>122085777</v>
      </c>
      <c r="E16" s="12" t="n">
        <v>0</v>
      </c>
      <c r="F16" s="12" t="n">
        <v>0</v>
      </c>
      <c r="G16" s="12" t="n">
        <v>0</v>
      </c>
      <c r="H16" s="12" t="n">
        <v>240541554</v>
      </c>
      <c r="I16" s="12" t="n">
        <v>305293357.17</v>
      </c>
      <c r="J16" s="12" t="n">
        <v>12770584.17</v>
      </c>
      <c r="K16" s="29" t="n">
        <v>22.90598214662564</v>
      </c>
      <c r="L16" s="16" t="inlineStr">
        <is>
          <t>GREEN</t>
        </is>
      </c>
      <c r="M16" s="17" t="inlineStr"/>
      <c r="N16" s="17" t="inlineStr"/>
    </row>
    <row r="17">
      <c r="A17" s="11" t="inlineStr">
        <is>
          <t>2218D-SEN-SIC4343</t>
        </is>
      </c>
      <c r="B17" s="11" t="inlineStr">
        <is>
          <t>SIC4343</t>
        </is>
      </c>
      <c r="C17" s="12" t="n">
        <v>3079956</v>
      </c>
      <c r="D17" s="12" t="n">
        <v>5478330</v>
      </c>
      <c r="E17" s="12" t="n">
        <v>15864948</v>
      </c>
      <c r="F17" s="12" t="n">
        <v>2308416</v>
      </c>
      <c r="G17" s="12" t="n">
        <v>0</v>
      </c>
      <c r="H17" s="12" t="n">
        <v>26731650</v>
      </c>
      <c r="I17" s="12" t="n">
        <v>26795539.62</v>
      </c>
      <c r="J17" s="12" t="n">
        <v>1502835.76</v>
      </c>
      <c r="K17" s="29" t="n">
        <v>16.82998537378429</v>
      </c>
      <c r="L17" s="16" t="inlineStr">
        <is>
          <t>GREEN</t>
        </is>
      </c>
      <c r="M17" s="17" t="inlineStr"/>
      <c r="N17" s="17" t="inlineStr"/>
    </row>
    <row r="18">
      <c r="A18" s="11" t="inlineStr">
        <is>
          <t>2003D-LFT-SIC7805</t>
        </is>
      </c>
      <c r="B18" s="11" t="inlineStr">
        <is>
          <t>SIC7150</t>
        </is>
      </c>
      <c r="C18" s="12" t="n">
        <v>35303103</v>
      </c>
      <c r="D18" s="12" t="n">
        <v>29573709</v>
      </c>
      <c r="E18" s="12" t="n">
        <v>34145034</v>
      </c>
      <c r="F18" s="12" t="n">
        <v>38622309</v>
      </c>
      <c r="G18" s="12" t="n">
        <v>38622309</v>
      </c>
      <c r="H18" s="12" t="n">
        <v>176266464</v>
      </c>
      <c r="I18" s="12" t="n">
        <v>180582809.57</v>
      </c>
      <c r="J18" s="12" t="n">
        <v>29362606.28</v>
      </c>
      <c r="K18" s="29" t="n">
        <v>5.150094710529899</v>
      </c>
      <c r="L18" s="16" t="inlineStr">
        <is>
          <t>GREEN</t>
        </is>
      </c>
      <c r="M18" s="17" t="inlineStr"/>
      <c r="N18" s="17" t="inlineStr"/>
    </row>
    <row r="19">
      <c r="A19" s="11" t="inlineStr">
        <is>
          <t>1805D-HDX3-SIC379</t>
        </is>
      </c>
      <c r="B19" s="11" t="inlineStr">
        <is>
          <t>SIC379</t>
        </is>
      </c>
      <c r="C19" s="12" t="n">
        <v>2460282</v>
      </c>
      <c r="D19" s="12" t="n">
        <v>2450745</v>
      </c>
      <c r="E19" s="12" t="n">
        <v>27574965</v>
      </c>
      <c r="F19" s="12" t="n">
        <v>26056965</v>
      </c>
      <c r="G19" s="12" t="n">
        <v>26056965</v>
      </c>
      <c r="H19" s="12" t="n">
        <v>84599922</v>
      </c>
      <c r="I19" s="12" t="n">
        <v>84611865.84</v>
      </c>
      <c r="J19" s="12" t="n">
        <v>17124811.82</v>
      </c>
      <c r="K19" s="29" t="n">
        <v>3.94089317473154</v>
      </c>
      <c r="L19" s="16" t="inlineStr">
        <is>
          <t>GREEN</t>
        </is>
      </c>
      <c r="M19" s="17" t="inlineStr"/>
      <c r="N19" s="17" t="inlineStr"/>
    </row>
    <row r="20">
      <c r="A20" s="11" t="inlineStr">
        <is>
          <t>2406D-CNT-GT12</t>
        </is>
      </c>
      <c r="B20" s="11" t="inlineStr">
        <is>
          <t>SIC279</t>
        </is>
      </c>
      <c r="C20" s="12" t="n">
        <v>2112000</v>
      </c>
      <c r="D20" s="12" t="n">
        <v>4818000</v>
      </c>
      <c r="E20" s="12" t="n">
        <v>5280000</v>
      </c>
      <c r="F20" s="12" t="n">
        <v>5280000</v>
      </c>
      <c r="G20" s="12" t="n">
        <v>5280000</v>
      </c>
      <c r="H20" s="12" t="n">
        <v>22770000</v>
      </c>
      <c r="I20" s="12" t="n">
        <v>22770000</v>
      </c>
      <c r="J20" s="12" t="n">
        <v>4803191.56</v>
      </c>
      <c r="K20" s="29" t="n">
        <v>3.740597936926755</v>
      </c>
      <c r="L20" s="16" t="inlineStr">
        <is>
          <t>GREEN</t>
        </is>
      </c>
      <c r="M20" s="17" t="inlineStr"/>
      <c r="N20" s="17" t="inlineStr"/>
    </row>
    <row r="21">
      <c r="A21" s="11" t="inlineStr">
        <is>
          <t>2415D-CNT-Dragon</t>
        </is>
      </c>
      <c r="B21" s="11" t="inlineStr">
        <is>
          <t>SIC72A1</t>
        </is>
      </c>
      <c r="C21" s="12" t="n">
        <v>3283500</v>
      </c>
      <c r="D21" s="12" t="n">
        <v>11492250</v>
      </c>
      <c r="E21" s="12" t="n">
        <v>11492250</v>
      </c>
      <c r="F21" s="12" t="n">
        <v>11492250</v>
      </c>
      <c r="G21" s="12" t="n">
        <v>11492250</v>
      </c>
      <c r="H21" s="12" t="n">
        <v>49252500</v>
      </c>
      <c r="I21" s="12" t="n">
        <v>49419521.43</v>
      </c>
      <c r="J21" s="12" t="n">
        <v>1233817.25</v>
      </c>
      <c r="K21" s="29" t="n">
        <v>39.0541663929565</v>
      </c>
      <c r="L21" s="16" t="inlineStr">
        <is>
          <t>GREEN</t>
        </is>
      </c>
      <c r="M21" s="17" t="inlineStr"/>
      <c r="N21" s="17" t="inlineStr"/>
    </row>
    <row r="22">
      <c r="A22" s="11" t="inlineStr">
        <is>
          <t>2417D-CNT-Marlin</t>
        </is>
      </c>
      <c r="B22" s="11" t="inlineStr">
        <is>
          <t>SIC72A2</t>
        </is>
      </c>
      <c r="C22" s="12" t="n">
        <v>32059500</v>
      </c>
      <c r="D22" s="12" t="n">
        <v>33000000</v>
      </c>
      <c r="E22" s="12" t="n">
        <v>33000000</v>
      </c>
      <c r="F22" s="12" t="n">
        <v>33000000</v>
      </c>
      <c r="G22" s="12" t="n">
        <v>33000000</v>
      </c>
      <c r="H22" s="12" t="n">
        <v>164059500</v>
      </c>
      <c r="I22" s="12" t="n">
        <v>164223828.58</v>
      </c>
      <c r="J22" s="12" t="n">
        <v>12736607.06</v>
      </c>
      <c r="K22" s="29" t="n">
        <v>11.89384431869252</v>
      </c>
      <c r="L22" s="16" t="inlineStr">
        <is>
          <t>GREEN</t>
        </is>
      </c>
      <c r="M22" s="17" t="inlineStr"/>
      <c r="N22" s="17" t="inlineStr"/>
    </row>
    <row r="23">
      <c r="A23" s="11" t="inlineStr">
        <is>
          <t>2112D-CNT-NFCV</t>
        </is>
      </c>
      <c r="B23" s="11" t="inlineStr">
        <is>
          <t>SIC56NL</t>
        </is>
      </c>
      <c r="C23" s="12" t="n">
        <v>9834429</v>
      </c>
      <c r="D23" s="12" t="n">
        <v>31129329</v>
      </c>
      <c r="E23" s="12" t="n">
        <v>54605100</v>
      </c>
      <c r="F23" s="12" t="n">
        <v>62893875</v>
      </c>
      <c r="G23" s="12" t="n">
        <v>68755500</v>
      </c>
      <c r="H23" s="12" t="n">
        <v>227218233</v>
      </c>
      <c r="I23" s="12" t="n">
        <v>227237233</v>
      </c>
      <c r="J23" s="12" t="n">
        <v>34918209.75</v>
      </c>
      <c r="K23" s="29" t="n">
        <v>5.507699983101224</v>
      </c>
      <c r="L23" s="16" t="inlineStr">
        <is>
          <t>GREEN</t>
        </is>
      </c>
      <c r="M23" s="17" t="inlineStr"/>
      <c r="N23" s="17" t="inlineStr"/>
    </row>
  </sheetData>
  <mergeCells count="2">
    <mergeCell ref="A14:N14"/>
    <mergeCell ref="A1:N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O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10" customWidth="1" min="9" max="9"/>
    <col width="10" customWidth="1" min="10" max="10"/>
    <col width="18" customWidth="1" min="11" max="11"/>
    <col width="18" customWidth="1" min="12" max="12"/>
    <col width="28" customWidth="1" min="13" max="13"/>
    <col width="32" customWidth="1" min="14" max="14"/>
    <col width="36" customWidth="1" min="15" max="15"/>
  </cols>
  <sheetData>
    <row r="1" ht="30" customHeight="1">
      <c r="A1" s="1" t="inlineStr">
        <is>
          <t>GROSS PROFIT &amp; COGS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RAG = GP trajectory vs biz case target | Every AMBER/RED includes commentary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>
      <c r="A4" s="10" t="inlineStr">
        <is>
          <t>Product</t>
        </is>
      </c>
      <c r="B4" s="10" t="inlineStr">
        <is>
          <t>Chip</t>
        </is>
      </c>
      <c r="C4" s="10" t="inlineStr">
        <is>
          <t>BC GP Target %</t>
        </is>
      </c>
      <c r="D4" s="10" t="inlineStr">
        <is>
          <t>Actual GP %</t>
        </is>
      </c>
      <c r="E4" s="10" t="inlineStr">
        <is>
          <t>GP Variance</t>
        </is>
      </c>
      <c r="F4" s="10" t="inlineStr">
        <is>
          <t>Actual Rev (THB)</t>
        </is>
      </c>
      <c r="G4" s="10" t="inlineStr">
        <is>
          <t>Est. GP (THB)</t>
        </is>
      </c>
      <c r="H4" s="10" t="inlineStr">
        <is>
          <t>Est. COGS (THB)</t>
        </is>
      </c>
      <c r="I4" s="10" t="inlineStr">
        <is>
          <t>COGS %</t>
        </is>
      </c>
      <c r="J4" s="10" t="inlineStr">
        <is>
          <t>GP RAG</t>
        </is>
      </c>
      <c r="K4" s="10" t="inlineStr">
        <is>
          <t>Fwd Rev (THB)</t>
        </is>
      </c>
      <c r="L4" s="10" t="inlineStr">
        <is>
          <t>Fwd Est. GP (THB)</t>
        </is>
      </c>
      <c r="M4" s="10" t="inlineStr">
        <is>
          <t>What's Off</t>
        </is>
      </c>
      <c r="N4" s="10" t="inlineStr">
        <is>
          <t>Why</t>
        </is>
      </c>
      <c r="O4" s="10" t="inlineStr">
        <is>
          <t>Action</t>
        </is>
      </c>
    </row>
    <row r="5">
      <c r="A5" s="11" t="inlineStr">
        <is>
          <t>2201D-LFT-FOUP</t>
        </is>
      </c>
      <c r="B5" s="11" t="inlineStr">
        <is>
          <t>SIC73F1</t>
        </is>
      </c>
      <c r="C5" s="14" t="n">
        <v>0.86</v>
      </c>
      <c r="D5" s="14" t="n">
        <v>0.77</v>
      </c>
      <c r="E5" s="30" t="n">
        <v>-0.08999999999999997</v>
      </c>
      <c r="F5" s="12" t="n">
        <v>64751803.17</v>
      </c>
      <c r="G5" s="12" t="n">
        <v>49858888.44090001</v>
      </c>
      <c r="H5" s="12" t="n">
        <v>14892914.7291</v>
      </c>
      <c r="I5" s="14" t="n">
        <v>0.23</v>
      </c>
      <c r="J5" s="18" t="inlineStr">
        <is>
          <t>AMBER</t>
        </is>
      </c>
      <c r="K5" s="12" t="n">
        <v>240541554</v>
      </c>
      <c r="L5" s="12" t="n">
        <v>185216996.58</v>
      </c>
      <c r="M5" s="17" t="inlineStr">
        <is>
          <t>GP 77% vs target 86% (-9%pp)</t>
        </is>
      </c>
      <c r="N5" s="17" t="inlineStr">
        <is>
          <t>COGS higher than biz case assumption or pricing pressure</t>
        </is>
      </c>
      <c r="O5" s="17" t="inlineStr">
        <is>
          <t>Finance + PLM to review cost structure and pricing (next monthly review)</t>
        </is>
      </c>
    </row>
    <row r="6">
      <c r="A6" s="11" t="inlineStr">
        <is>
          <t>2218D-SEN-SIC4343</t>
        </is>
      </c>
      <c r="B6" s="11" t="inlineStr">
        <is>
          <t>SIC4343</t>
        </is>
      </c>
      <c r="C6" s="14" t="n">
        <v>0.82</v>
      </c>
      <c r="D6" s="14" t="n">
        <v>0.82</v>
      </c>
      <c r="E6" s="14" t="n">
        <v>0</v>
      </c>
      <c r="F6" s="12" t="n">
        <v>63889.62</v>
      </c>
      <c r="G6" s="12" t="n">
        <v>52389.48839999999</v>
      </c>
      <c r="H6" s="12" t="n">
        <v>11500.1316</v>
      </c>
      <c r="I6" s="14" t="n">
        <v>0.18</v>
      </c>
      <c r="J6" s="16" t="inlineStr">
        <is>
          <t>GREEN</t>
        </is>
      </c>
      <c r="K6" s="12" t="n">
        <v>26731650</v>
      </c>
      <c r="L6" s="12" t="n">
        <v>21919953</v>
      </c>
      <c r="M6" s="17" t="inlineStr"/>
      <c r="N6" s="17" t="inlineStr"/>
      <c r="O6" s="17" t="inlineStr"/>
    </row>
    <row r="7">
      <c r="A7" s="11" t="inlineStr">
        <is>
          <t>2003D-LFT-SIC7805</t>
        </is>
      </c>
      <c r="B7" s="11" t="inlineStr">
        <is>
          <t>SIC7150</t>
        </is>
      </c>
      <c r="C7" s="14" t="n">
        <v>0.33</v>
      </c>
      <c r="D7" s="14" t="n">
        <v>0.33</v>
      </c>
      <c r="E7" s="14" t="n">
        <v>0</v>
      </c>
      <c r="F7" s="12" t="n">
        <v>4316345.57</v>
      </c>
      <c r="G7" s="12" t="n">
        <v>1424394.0381</v>
      </c>
      <c r="H7" s="12" t="n">
        <v>2891951.5319</v>
      </c>
      <c r="I7" s="14" t="n">
        <v>0.6699999999999999</v>
      </c>
      <c r="J7" s="16" t="inlineStr">
        <is>
          <t>GREEN</t>
        </is>
      </c>
      <c r="K7" s="12" t="n">
        <v>176266464</v>
      </c>
      <c r="L7" s="12" t="n">
        <v>58167933.12</v>
      </c>
      <c r="M7" s="17" t="inlineStr"/>
      <c r="N7" s="17" t="inlineStr"/>
      <c r="O7" s="17" t="inlineStr"/>
    </row>
    <row r="8">
      <c r="A8" s="11" t="inlineStr">
        <is>
          <t>1805D-HDX3-SIC379</t>
        </is>
      </c>
      <c r="B8" s="11" t="inlineStr">
        <is>
          <t>SIC379</t>
        </is>
      </c>
      <c r="C8" s="14" t="n">
        <v>0.68</v>
      </c>
      <c r="D8" s="14" t="n">
        <v>0.68</v>
      </c>
      <c r="E8" s="14" t="n">
        <v>0</v>
      </c>
      <c r="F8" s="12" t="n">
        <v>11943.84</v>
      </c>
      <c r="G8" s="12" t="n">
        <v>8121.811200000001</v>
      </c>
      <c r="H8" s="12" t="n">
        <v>3822.0288</v>
      </c>
      <c r="I8" s="14" t="n">
        <v>0.32</v>
      </c>
      <c r="J8" s="16" t="inlineStr">
        <is>
          <t>GREEN</t>
        </is>
      </c>
      <c r="K8" s="12" t="n">
        <v>84599922</v>
      </c>
      <c r="L8" s="12" t="n">
        <v>57527946.96</v>
      </c>
      <c r="M8" s="17" t="inlineStr"/>
      <c r="N8" s="17" t="inlineStr"/>
      <c r="O8" s="17" t="inlineStr"/>
    </row>
    <row r="9">
      <c r="A9" s="11" t="inlineStr">
        <is>
          <t>2406D-CNT-GT12</t>
        </is>
      </c>
      <c r="B9" s="11" t="inlineStr">
        <is>
          <t>SIC279</t>
        </is>
      </c>
      <c r="C9" s="14" t="n">
        <v>0.52</v>
      </c>
      <c r="D9" s="14" t="n">
        <v>0.51</v>
      </c>
      <c r="E9" s="14" t="n">
        <v>-0.01000000000000001</v>
      </c>
      <c r="F9" s="12" t="n">
        <v>0</v>
      </c>
      <c r="G9" s="12" t="n">
        <v>0</v>
      </c>
      <c r="H9" s="12" t="n">
        <v>0</v>
      </c>
      <c r="I9" s="14" t="n">
        <v>0.49</v>
      </c>
      <c r="J9" s="16" t="inlineStr">
        <is>
          <t>GREEN</t>
        </is>
      </c>
      <c r="K9" s="12" t="n">
        <v>22770000</v>
      </c>
      <c r="L9" s="12" t="n">
        <v>11612700</v>
      </c>
      <c r="M9" s="17" t="inlineStr"/>
      <c r="N9" s="17" t="inlineStr"/>
      <c r="O9" s="17" t="inlineStr"/>
    </row>
    <row r="10">
      <c r="A10" s="11" t="inlineStr">
        <is>
          <t>2415D-CNT-Dragon</t>
        </is>
      </c>
      <c r="B10" s="11" t="inlineStr">
        <is>
          <t>SIC72A1</t>
        </is>
      </c>
      <c r="C10" s="14" t="n">
        <v>0.48</v>
      </c>
      <c r="D10" s="14" t="n">
        <v>0.55</v>
      </c>
      <c r="E10" s="31" t="n">
        <v>0.07000000000000006</v>
      </c>
      <c r="F10" s="12" t="n">
        <v>167021.43</v>
      </c>
      <c r="G10" s="12" t="n">
        <v>91861.7865</v>
      </c>
      <c r="H10" s="12" t="n">
        <v>75159.64349999999</v>
      </c>
      <c r="I10" s="14" t="n">
        <v>0.45</v>
      </c>
      <c r="J10" s="16" t="inlineStr">
        <is>
          <t>GREEN</t>
        </is>
      </c>
      <c r="K10" s="12" t="n">
        <v>49252500</v>
      </c>
      <c r="L10" s="12" t="n">
        <v>27088875</v>
      </c>
      <c r="M10" s="17" t="inlineStr"/>
      <c r="N10" s="17" t="inlineStr"/>
      <c r="O10" s="17" t="inlineStr"/>
    </row>
    <row r="11">
      <c r="A11" s="11" t="inlineStr">
        <is>
          <t>2417D-CNT-Marlin</t>
        </is>
      </c>
      <c r="B11" s="11" t="inlineStr">
        <is>
          <t>SIC72A2</t>
        </is>
      </c>
      <c r="C11" s="14" t="n">
        <v>0.32</v>
      </c>
      <c r="D11" s="14" t="n">
        <v>0.32</v>
      </c>
      <c r="E11" s="14" t="n">
        <v>0</v>
      </c>
      <c r="F11" s="12" t="n">
        <v>164328.58</v>
      </c>
      <c r="G11" s="12" t="n">
        <v>52585.1456</v>
      </c>
      <c r="H11" s="12" t="n">
        <v>111743.4344</v>
      </c>
      <c r="I11" s="14" t="n">
        <v>0.6799999999999999</v>
      </c>
      <c r="J11" s="16" t="inlineStr">
        <is>
          <t>GREEN</t>
        </is>
      </c>
      <c r="K11" s="12" t="n">
        <v>164059500</v>
      </c>
      <c r="L11" s="12" t="n">
        <v>52499040</v>
      </c>
      <c r="M11" s="17" t="inlineStr"/>
      <c r="N11" s="17" t="inlineStr"/>
      <c r="O11" s="17" t="inlineStr"/>
    </row>
    <row r="12">
      <c r="A12" s="11" t="inlineStr">
        <is>
          <t>2112D-CNT-NFCV</t>
        </is>
      </c>
      <c r="B12" s="11" t="inlineStr">
        <is>
          <t>SIC56NL</t>
        </is>
      </c>
      <c r="C12" s="14" t="n">
        <v>0.49</v>
      </c>
      <c r="D12" s="14" t="n">
        <v>0.49</v>
      </c>
      <c r="E12" s="14" t="n">
        <v>0</v>
      </c>
      <c r="F12" s="12" t="n">
        <v>19000</v>
      </c>
      <c r="G12" s="12" t="n">
        <v>9310</v>
      </c>
      <c r="H12" s="12" t="n">
        <v>9690</v>
      </c>
      <c r="I12" s="14" t="n">
        <v>0.51</v>
      </c>
      <c r="J12" s="16" t="inlineStr">
        <is>
          <t>GREEN</t>
        </is>
      </c>
      <c r="K12" s="12" t="n">
        <v>227218233</v>
      </c>
      <c r="L12" s="12" t="n">
        <v>111336934.17</v>
      </c>
      <c r="M12" s="17" t="inlineStr"/>
      <c r="N12" s="17" t="inlineStr"/>
      <c r="O12" s="17" t="inlineStr"/>
    </row>
  </sheetData>
  <mergeCells count="2">
    <mergeCell ref="A1:O1"/>
    <mergeCell ref="A2:O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6" customWidth="1" min="4" max="4"/>
    <col width="10" customWidth="1" min="5" max="5"/>
    <col width="20" customWidth="1" min="6" max="6"/>
    <col width="18" customWidth="1" min="7" max="7"/>
    <col width="14" customWidth="1" min="8" max="8"/>
    <col width="18" customWidth="1" min="9" max="9"/>
    <col width="18" customWidth="1" min="10" max="10"/>
    <col width="2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ROI &amp; INVESTMENT PAYBACK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Biz Case NPV benchmarks vs current investment recovery | All amounts in THB unless noted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>
      <c r="A4" s="10" t="inlineStr">
        <is>
          <t>Product</t>
        </is>
      </c>
      <c r="B4" s="10" t="inlineStr">
        <is>
          <t>Chip</t>
        </is>
      </c>
      <c r="C4" s="10" t="inlineStr">
        <is>
          <t>Investment (THB)</t>
        </is>
      </c>
      <c r="D4" s="10" t="inlineStr">
        <is>
          <t>BC NPV (USD)</t>
        </is>
      </c>
      <c r="E4" s="10" t="inlineStr">
        <is>
          <t>BC WACC</t>
        </is>
      </c>
      <c r="F4" s="10" t="inlineStr">
        <is>
          <t>Actual Rev (THB)</t>
        </is>
      </c>
      <c r="G4" s="10" t="inlineStr">
        <is>
          <t>Rev vs Invest</t>
        </is>
      </c>
      <c r="H4" s="10" t="inlineStr">
        <is>
          <t>Rev Recovery %</t>
        </is>
      </c>
      <c r="I4" s="10" t="inlineStr">
        <is>
          <t>Est. GP (THB)</t>
        </is>
      </c>
      <c r="J4" s="10" t="inlineStr">
        <is>
          <t>GP vs Invest</t>
        </is>
      </c>
      <c r="K4" s="10" t="inlineStr">
        <is>
          <t>Lifetime Rev (THB)</t>
        </is>
      </c>
      <c r="L4" s="10" t="inlineStr">
        <is>
          <t>Lifetime ROI</t>
        </is>
      </c>
      <c r="M4" s="10" t="inlineStr">
        <is>
          <t>BC Net Profit %</t>
        </is>
      </c>
      <c r="N4" s="10" t="inlineStr">
        <is>
          <t>Status</t>
        </is>
      </c>
    </row>
    <row r="5">
      <c r="A5" s="11" t="inlineStr">
        <is>
          <t>2201D-LFT-FOUP</t>
        </is>
      </c>
      <c r="B5" s="11" t="inlineStr">
        <is>
          <t>SIC73F1</t>
        </is>
      </c>
      <c r="C5" s="12" t="n">
        <v>12770584.17</v>
      </c>
      <c r="D5" s="23" t="n">
        <v>618227</v>
      </c>
      <c r="E5" s="14" t="n">
        <v>0.1175</v>
      </c>
      <c r="F5" s="12" t="n">
        <v>64751803.17</v>
      </c>
      <c r="G5" s="12" t="n">
        <v>51981219</v>
      </c>
      <c r="H5" s="14" t="n">
        <v>5.070386938297749</v>
      </c>
      <c r="I5" s="12" t="n">
        <v>49858888.44090001</v>
      </c>
      <c r="J5" s="12" t="n">
        <v>37088304.2709</v>
      </c>
      <c r="K5" s="12" t="n">
        <v>305293357.17</v>
      </c>
      <c r="L5" s="29" t="n">
        <v>22.90598214662564</v>
      </c>
      <c r="M5" s="14" t="n">
        <v>0.62</v>
      </c>
      <c r="N5" s="16" t="inlineStr">
        <is>
          <t>Recovered</t>
        </is>
      </c>
    </row>
    <row r="6">
      <c r="A6" s="11" t="inlineStr">
        <is>
          <t>2218D-SEN-SIC4343</t>
        </is>
      </c>
      <c r="B6" s="11" t="inlineStr">
        <is>
          <t>SIC4343</t>
        </is>
      </c>
      <c r="C6" s="12" t="n">
        <v>1502835.76</v>
      </c>
      <c r="D6" s="23" t="n">
        <v>669671</v>
      </c>
      <c r="E6" s="14" t="n">
        <v>0.1175</v>
      </c>
      <c r="F6" s="12" t="n">
        <v>63889.62</v>
      </c>
      <c r="G6" s="12" t="n">
        <v>-1438946.14</v>
      </c>
      <c r="H6" s="14" t="n">
        <v>0.04251270943938677</v>
      </c>
      <c r="I6" s="12" t="n">
        <v>52389.48839999999</v>
      </c>
      <c r="J6" s="12" t="n">
        <v>-1450446.2716</v>
      </c>
      <c r="K6" s="12" t="n">
        <v>26795539.62</v>
      </c>
      <c r="L6" s="29" t="n">
        <v>16.82998537378429</v>
      </c>
      <c r="M6" s="14" t="n">
        <v>0.65</v>
      </c>
      <c r="N6" s="19" t="inlineStr">
        <is>
          <t>Behind</t>
        </is>
      </c>
    </row>
    <row r="7">
      <c r="A7" s="11" t="inlineStr">
        <is>
          <t>2003D-LFT-SIC7805</t>
        </is>
      </c>
      <c r="B7" s="11" t="inlineStr">
        <is>
          <t>SIC7150</t>
        </is>
      </c>
      <c r="C7" s="12" t="n">
        <v>29362606.28</v>
      </c>
      <c r="D7" s="23" t="n">
        <v>409344</v>
      </c>
      <c r="E7" s="14" t="n">
        <v>0.101</v>
      </c>
      <c r="F7" s="12" t="n">
        <v>4316345.57</v>
      </c>
      <c r="G7" s="12" t="n">
        <v>-25046260.71</v>
      </c>
      <c r="H7" s="14" t="n">
        <v>0.1470014456087309</v>
      </c>
      <c r="I7" s="12" t="n">
        <v>1424394.0381</v>
      </c>
      <c r="J7" s="12" t="n">
        <v>-27938212.2419</v>
      </c>
      <c r="K7" s="12" t="n">
        <v>180582809.57</v>
      </c>
      <c r="L7" s="29" t="n">
        <v>5.150094710529899</v>
      </c>
      <c r="M7" s="14" t="n">
        <v>0.08</v>
      </c>
      <c r="N7" s="21" t="inlineStr">
        <is>
          <t>Early Stage</t>
        </is>
      </c>
    </row>
    <row r="8">
      <c r="A8" s="11" t="inlineStr">
        <is>
          <t>1805D-HDX3-SIC379</t>
        </is>
      </c>
      <c r="B8" s="11" t="inlineStr">
        <is>
          <t>SIC379</t>
        </is>
      </c>
      <c r="C8" s="12" t="n">
        <v>17124811.82</v>
      </c>
      <c r="D8" s="20" t="inlineStr">
        <is>
          <t>N/A</t>
        </is>
      </c>
      <c r="E8" s="20" t="inlineStr">
        <is>
          <t>N/A</t>
        </is>
      </c>
      <c r="F8" s="12" t="n">
        <v>11943.84</v>
      </c>
      <c r="G8" s="12" t="n">
        <v>-17112867.98</v>
      </c>
      <c r="H8" s="14" t="n">
        <v>0.0006974581750469711</v>
      </c>
      <c r="I8" s="12" t="n">
        <v>8121.811200000001</v>
      </c>
      <c r="J8" s="12" t="n">
        <v>-17116690.0088</v>
      </c>
      <c r="K8" s="12" t="n">
        <v>84611865.84</v>
      </c>
      <c r="L8" s="29" t="n">
        <v>3.94089317473154</v>
      </c>
      <c r="M8" s="20" t="inlineStr">
        <is>
          <t>N/A</t>
        </is>
      </c>
      <c r="N8" s="16" t="inlineStr">
        <is>
          <t>On Track</t>
        </is>
      </c>
    </row>
    <row r="9">
      <c r="A9" s="11" t="inlineStr">
        <is>
          <t>2406D-CNT-GT12</t>
        </is>
      </c>
      <c r="B9" s="11" t="inlineStr">
        <is>
          <t>SIC279</t>
        </is>
      </c>
      <c r="C9" s="12" t="n">
        <v>4803191.56</v>
      </c>
      <c r="D9" s="23" t="n">
        <v>321478</v>
      </c>
      <c r="E9" s="14" t="n">
        <v>0.101</v>
      </c>
      <c r="F9" s="12" t="n">
        <v>0</v>
      </c>
      <c r="G9" s="12" t="n">
        <v>-4803191.56</v>
      </c>
      <c r="H9" s="14" t="n">
        <v>0</v>
      </c>
      <c r="I9" s="12" t="n">
        <v>0</v>
      </c>
      <c r="J9" s="12" t="n">
        <v>-4803191.56</v>
      </c>
      <c r="K9" s="12" t="n">
        <v>22770000</v>
      </c>
      <c r="L9" s="29" t="n">
        <v>3.740597936926755</v>
      </c>
      <c r="M9" s="14" t="n">
        <v>0.21</v>
      </c>
      <c r="N9" s="16" t="inlineStr">
        <is>
          <t>On Track</t>
        </is>
      </c>
    </row>
    <row r="10">
      <c r="A10" s="11" t="inlineStr">
        <is>
          <t>2415D-CNT-Dragon</t>
        </is>
      </c>
      <c r="B10" s="11" t="inlineStr">
        <is>
          <t>SIC72A1</t>
        </is>
      </c>
      <c r="C10" s="12" t="n">
        <v>1233817.25</v>
      </c>
      <c r="D10" s="23" t="n">
        <v>574430</v>
      </c>
      <c r="E10" s="14" t="n">
        <v>0.101</v>
      </c>
      <c r="F10" s="12" t="n">
        <v>167021.43</v>
      </c>
      <c r="G10" s="12" t="n">
        <v>-1066795.82</v>
      </c>
      <c r="H10" s="14" t="n">
        <v>0.1353696667800681</v>
      </c>
      <c r="I10" s="12" t="n">
        <v>91861.7865</v>
      </c>
      <c r="J10" s="12" t="n">
        <v>-1141955.4635</v>
      </c>
      <c r="K10" s="12" t="n">
        <v>49419521.43</v>
      </c>
      <c r="L10" s="29" t="n">
        <v>39.0541663929565</v>
      </c>
      <c r="M10" s="14" t="n">
        <v>0.32</v>
      </c>
      <c r="N10" s="21" t="inlineStr">
        <is>
          <t>Early Stage</t>
        </is>
      </c>
    </row>
    <row r="11">
      <c r="A11" s="11" t="inlineStr">
        <is>
          <t>2417D-CNT-Marlin</t>
        </is>
      </c>
      <c r="B11" s="11" t="inlineStr">
        <is>
          <t>SIC72A2</t>
        </is>
      </c>
      <c r="C11" s="12" t="n">
        <v>12736607.06</v>
      </c>
      <c r="D11" s="20" t="inlineStr">
        <is>
          <t>N/A</t>
        </is>
      </c>
      <c r="E11" s="20" t="inlineStr">
        <is>
          <t>N/A</t>
        </is>
      </c>
      <c r="F11" s="12" t="n">
        <v>164328.58</v>
      </c>
      <c r="G11" s="12" t="n">
        <v>-12572278.48</v>
      </c>
      <c r="H11" s="14" t="n">
        <v>0.01290206875550732</v>
      </c>
      <c r="I11" s="12" t="n">
        <v>52585.1456</v>
      </c>
      <c r="J11" s="12" t="n">
        <v>-12684021.9144</v>
      </c>
      <c r="K11" s="12" t="n">
        <v>164223828.58</v>
      </c>
      <c r="L11" s="29" t="n">
        <v>11.89384431869252</v>
      </c>
      <c r="M11" s="20" t="inlineStr">
        <is>
          <t>N/A</t>
        </is>
      </c>
      <c r="N11" s="16" t="inlineStr">
        <is>
          <t>On Track</t>
        </is>
      </c>
    </row>
    <row r="12">
      <c r="A12" s="11" t="inlineStr">
        <is>
          <t>2112D-CNT-NFCV</t>
        </is>
      </c>
      <c r="B12" s="11" t="inlineStr">
        <is>
          <t>SIC56NL</t>
        </is>
      </c>
      <c r="C12" s="12" t="n">
        <v>34918209.75</v>
      </c>
      <c r="D12" s="23" t="n">
        <v>1423926</v>
      </c>
      <c r="E12" s="14" t="n">
        <v>0.101</v>
      </c>
      <c r="F12" s="12" t="n">
        <v>19000</v>
      </c>
      <c r="G12" s="12" t="n">
        <v>-34899209.75</v>
      </c>
      <c r="H12" s="14" t="n">
        <v>0.000544128697777812</v>
      </c>
      <c r="I12" s="12" t="n">
        <v>9310</v>
      </c>
      <c r="J12" s="12" t="n">
        <v>-34908899.75</v>
      </c>
      <c r="K12" s="12" t="n">
        <v>227237233</v>
      </c>
      <c r="L12" s="29" t="n">
        <v>5.507699983101224</v>
      </c>
      <c r="M12" s="14" t="n">
        <v>0.21</v>
      </c>
      <c r="N12" s="16" t="inlineStr">
        <is>
          <t>On Track</t>
        </is>
      </c>
    </row>
  </sheetData>
  <mergeCells count="2">
    <mergeCell ref="A2:N2"/>
    <mergeCell ref="A1:N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FORECAST ACCURACY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0" t="inlineStr">
        <is>
          <t>Product</t>
        </is>
      </c>
      <c r="B3" s="10" t="inlineStr">
        <is>
          <t>Chip</t>
        </is>
      </c>
      <c r="C3" s="10" t="inlineStr">
        <is>
          <t>Year</t>
        </is>
      </c>
      <c r="D3" s="10" t="inlineStr">
        <is>
          <t>Biz Case Rev</t>
        </is>
      </c>
      <c r="E3" s="10" t="inlineStr">
        <is>
          <t>Actual Rev</t>
        </is>
      </c>
      <c r="F3" s="10" t="inlineStr">
        <is>
          <t>Variance</t>
        </is>
      </c>
      <c r="G3" s="10" t="inlineStr">
        <is>
          <t>Accuracy %</t>
        </is>
      </c>
      <c r="H3" s="10" t="inlineStr">
        <is>
          <t>Deviation %</t>
        </is>
      </c>
      <c r="I3" s="10" t="inlineStr">
        <is>
          <t>Direction</t>
        </is>
      </c>
      <c r="J3" s="10" t="inlineStr">
        <is>
          <t>Assessment</t>
        </is>
      </c>
    </row>
    <row r="4">
      <c r="A4" s="11" t="inlineStr">
        <is>
          <t>2201D-LFT-FOUP</t>
        </is>
      </c>
      <c r="B4" s="11" t="inlineStr">
        <is>
          <t>SIC73F1</t>
        </is>
      </c>
      <c r="C4" s="11" t="n">
        <v>2023</v>
      </c>
      <c r="D4" s="12" t="n">
        <v>15963024</v>
      </c>
      <c r="E4" s="12" t="n">
        <v>17055383.17</v>
      </c>
      <c r="F4" s="12" t="n">
        <v>1092359.170000002</v>
      </c>
      <c r="G4" s="14" t="n">
        <v>1.068430591221313</v>
      </c>
      <c r="H4" s="14" t="n">
        <v>0.06843059122131256</v>
      </c>
      <c r="I4" s="11" t="inlineStr">
        <is>
          <t>Over</t>
        </is>
      </c>
      <c r="J4" s="16" t="inlineStr">
        <is>
          <t>Accurate</t>
        </is>
      </c>
    </row>
    <row r="5">
      <c r="A5" s="11" t="inlineStr">
        <is>
          <t>2201D-LFT-FOUP</t>
        </is>
      </c>
      <c r="B5" s="11" t="inlineStr">
        <is>
          <t>SIC73F1</t>
        </is>
      </c>
      <c r="C5" s="11" t="n">
        <v>2024</v>
      </c>
      <c r="D5" s="12" t="n">
        <v>23693703</v>
      </c>
      <c r="E5" s="12" t="n">
        <v>25333390</v>
      </c>
      <c r="F5" s="12" t="n">
        <v>1639687</v>
      </c>
      <c r="G5" s="14" t="n">
        <v>1.069203492590415</v>
      </c>
      <c r="H5" s="14" t="n">
        <v>0.06920349259041526</v>
      </c>
      <c r="I5" s="11" t="inlineStr">
        <is>
          <t>Over</t>
        </is>
      </c>
      <c r="J5" s="16" t="inlineStr">
        <is>
          <t>Accurate</t>
        </is>
      </c>
    </row>
    <row r="6">
      <c r="A6" s="11" t="inlineStr">
        <is>
          <t>2201D-LFT-FOUP</t>
        </is>
      </c>
      <c r="B6" s="11" t="inlineStr">
        <is>
          <t>SIC73F1</t>
        </is>
      </c>
      <c r="C6" s="11" t="n">
        <v>2025</v>
      </c>
      <c r="D6" s="12" t="n">
        <v>33720093</v>
      </c>
      <c r="E6" s="12" t="n">
        <v>22363030</v>
      </c>
      <c r="F6" s="13" t="n">
        <v>-11357063</v>
      </c>
      <c r="G6" s="14" t="n">
        <v>0.6631959763574792</v>
      </c>
      <c r="H6" s="14" t="n">
        <v>0.3368040236425208</v>
      </c>
      <c r="I6" s="11" t="inlineStr">
        <is>
          <t>Under</t>
        </is>
      </c>
      <c r="J6" s="32" t="inlineStr">
        <is>
          <t>Poor</t>
        </is>
      </c>
    </row>
    <row r="7">
      <c r="A7" s="11" t="inlineStr">
        <is>
          <t>2218D-SEN-SIC4343</t>
        </is>
      </c>
      <c r="B7" s="11" t="inlineStr">
        <is>
          <t>SIC4343</t>
        </is>
      </c>
      <c r="C7" s="11" t="n">
        <v>2023</v>
      </c>
      <c r="D7" s="12" t="n">
        <v>0</v>
      </c>
      <c r="E7" s="12" t="n">
        <v>43625.24</v>
      </c>
      <c r="F7" s="12" t="n">
        <v>43625.24</v>
      </c>
      <c r="G7" s="14" t="n">
        <v>0</v>
      </c>
      <c r="H7" s="14" t="n">
        <v>1</v>
      </c>
      <c r="I7" s="11" t="inlineStr">
        <is>
          <t>Over</t>
        </is>
      </c>
      <c r="J7" s="19" t="inlineStr">
        <is>
          <t>Critical</t>
        </is>
      </c>
    </row>
    <row r="8">
      <c r="A8" s="11" t="inlineStr">
        <is>
          <t>2218D-SEN-SIC4343</t>
        </is>
      </c>
      <c r="B8" s="11" t="inlineStr">
        <is>
          <t>SIC4343</t>
        </is>
      </c>
      <c r="C8" s="11" t="n">
        <v>2024</v>
      </c>
      <c r="D8" s="12" t="n">
        <v>641520</v>
      </c>
      <c r="E8" s="12" t="n">
        <v>20264.38</v>
      </c>
      <c r="F8" s="13" t="n">
        <v>-621255.62</v>
      </c>
      <c r="G8" s="14" t="n">
        <v>0.03158807207881282</v>
      </c>
      <c r="H8" s="14" t="n">
        <v>0.9684119279211871</v>
      </c>
      <c r="I8" s="11" t="inlineStr">
        <is>
          <t>Under</t>
        </is>
      </c>
      <c r="J8" s="19" t="inlineStr">
        <is>
          <t>Critical</t>
        </is>
      </c>
    </row>
    <row r="9">
      <c r="A9" s="11" t="inlineStr">
        <is>
          <t>2218D-SEN-SIC4343</t>
        </is>
      </c>
      <c r="B9" s="11" t="inlineStr">
        <is>
          <t>SIC4343</t>
        </is>
      </c>
      <c r="C9" s="11" t="n">
        <v>2025</v>
      </c>
      <c r="D9" s="12" t="n">
        <v>1615383</v>
      </c>
      <c r="E9" s="12" t="n">
        <v>0</v>
      </c>
      <c r="F9" s="13" t="n">
        <v>-1615383</v>
      </c>
      <c r="G9" s="14" t="n">
        <v>0</v>
      </c>
      <c r="H9" s="14" t="n">
        <v>1</v>
      </c>
      <c r="I9" s="11" t="inlineStr">
        <is>
          <t>Under</t>
        </is>
      </c>
      <c r="J9" s="19" t="inlineStr">
        <is>
          <t>Critical</t>
        </is>
      </c>
    </row>
    <row r="10">
      <c r="A10" s="11" t="inlineStr">
        <is>
          <t>2003D-LFT-SIC7805</t>
        </is>
      </c>
      <c r="B10" s="11" t="inlineStr">
        <is>
          <t>SIC7150</t>
        </is>
      </c>
      <c r="C10" s="11" t="n">
        <v>2025</v>
      </c>
      <c r="D10" s="12" t="n">
        <v>0</v>
      </c>
      <c r="E10" s="12" t="n">
        <v>4316345.57</v>
      </c>
      <c r="F10" s="12" t="n">
        <v>4316345.57</v>
      </c>
      <c r="G10" s="14" t="n">
        <v>0</v>
      </c>
      <c r="H10" s="14" t="n">
        <v>1</v>
      </c>
      <c r="I10" s="11" t="inlineStr">
        <is>
          <t>Over</t>
        </is>
      </c>
      <c r="J10" s="19" t="inlineStr">
        <is>
          <t>Critical</t>
        </is>
      </c>
    </row>
    <row r="11">
      <c r="A11" s="11" t="inlineStr">
        <is>
          <t>1805D-HDX3-SIC379</t>
        </is>
      </c>
      <c r="B11" s="11" t="inlineStr">
        <is>
          <t>SIC379</t>
        </is>
      </c>
      <c r="C11" s="11" t="n">
        <v>2025</v>
      </c>
      <c r="D11" s="12" t="n">
        <v>0</v>
      </c>
      <c r="E11" s="12" t="n">
        <v>11943.84</v>
      </c>
      <c r="F11" s="12" t="n">
        <v>11943.84</v>
      </c>
      <c r="G11" s="14" t="n">
        <v>0</v>
      </c>
      <c r="H11" s="14" t="n">
        <v>1</v>
      </c>
      <c r="I11" s="11" t="inlineStr">
        <is>
          <t>Over</t>
        </is>
      </c>
      <c r="J11" s="19" t="inlineStr">
        <is>
          <t>Critical</t>
        </is>
      </c>
    </row>
    <row r="12">
      <c r="A12" s="11" t="inlineStr">
        <is>
          <t>2406D-CNT-GT12</t>
        </is>
      </c>
      <c r="B12" s="11" t="inlineStr">
        <is>
          <t>SIC279</t>
        </is>
      </c>
      <c r="C12" s="11" t="n">
        <v>2025</v>
      </c>
      <c r="D12" s="12" t="n">
        <v>330000</v>
      </c>
      <c r="E12" s="12" t="n">
        <v>0</v>
      </c>
      <c r="F12" s="13" t="n">
        <v>-330000</v>
      </c>
      <c r="G12" s="14" t="n">
        <v>0</v>
      </c>
      <c r="H12" s="14" t="n">
        <v>1</v>
      </c>
      <c r="I12" s="11" t="inlineStr">
        <is>
          <t>Under</t>
        </is>
      </c>
      <c r="J12" s="19" t="inlineStr">
        <is>
          <t>Critical</t>
        </is>
      </c>
    </row>
    <row r="13">
      <c r="A13" s="11" t="inlineStr">
        <is>
          <t>2415D-CNT-Dragon</t>
        </is>
      </c>
      <c r="B13" s="11" t="inlineStr">
        <is>
          <t>SIC72A1</t>
        </is>
      </c>
      <c r="C13" s="11" t="n">
        <v>2025</v>
      </c>
      <c r="D13" s="12" t="n">
        <v>0</v>
      </c>
      <c r="E13" s="12" t="n">
        <v>167021.43</v>
      </c>
      <c r="F13" s="12" t="n">
        <v>167021.43</v>
      </c>
      <c r="G13" s="14" t="n">
        <v>0</v>
      </c>
      <c r="H13" s="14" t="n">
        <v>1</v>
      </c>
      <c r="I13" s="11" t="inlineStr">
        <is>
          <t>Over</t>
        </is>
      </c>
      <c r="J13" s="19" t="inlineStr">
        <is>
          <t>Critical</t>
        </is>
      </c>
    </row>
    <row r="14">
      <c r="A14" s="11" t="inlineStr">
        <is>
          <t>2417D-CNT-Marlin</t>
        </is>
      </c>
      <c r="B14" s="11" t="inlineStr">
        <is>
          <t>SIC72A2</t>
        </is>
      </c>
      <c r="C14" s="11" t="n">
        <v>2025</v>
      </c>
      <c r="D14" s="12" t="n">
        <v>0</v>
      </c>
      <c r="E14" s="12" t="n">
        <v>164328.58</v>
      </c>
      <c r="F14" s="12" t="n">
        <v>164328.58</v>
      </c>
      <c r="G14" s="14" t="n">
        <v>0</v>
      </c>
      <c r="H14" s="14" t="n">
        <v>1</v>
      </c>
      <c r="I14" s="11" t="inlineStr">
        <is>
          <t>Over</t>
        </is>
      </c>
      <c r="J14" s="19" t="inlineStr">
        <is>
          <t>Critical</t>
        </is>
      </c>
    </row>
    <row r="15">
      <c r="A15" s="11" t="inlineStr">
        <is>
          <t>2112D-CNT-NFCV</t>
        </is>
      </c>
      <c r="B15" s="11" t="inlineStr">
        <is>
          <t>SIC56NL</t>
        </is>
      </c>
      <c r="C15" s="11" t="n">
        <v>2025</v>
      </c>
      <c r="D15" s="12" t="n">
        <v>0</v>
      </c>
      <c r="E15" s="12" t="n">
        <v>19000</v>
      </c>
      <c r="F15" s="12" t="n">
        <v>19000</v>
      </c>
      <c r="G15" s="14" t="n">
        <v>0</v>
      </c>
      <c r="H15" s="14" t="n">
        <v>1</v>
      </c>
      <c r="I15" s="11" t="inlineStr">
        <is>
          <t>Over</t>
        </is>
      </c>
      <c r="J15" s="19" t="inlineStr">
        <is>
          <t>Critical</t>
        </is>
      </c>
    </row>
  </sheetData>
  <mergeCells count="1">
    <mergeCell ref="A1:J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27AE60"/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28" customWidth="1" min="6" max="6"/>
    <col width="32" customWidth="1" min="7" max="7"/>
    <col width="36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</cols>
  <sheetData>
    <row r="1" ht="30" customHeight="1">
      <c r="A1" s="1" t="inlineStr">
        <is>
          <t>LEAN MANAGEMENT HEALTH SCORECARD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RAG = Trajectory vs Plan (not snapshot) | No Orphan Reds | Scoring: Rev (40%) + GP (30%) + ROI (30%)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>
      <c r="A4" s="10" t="inlineStr">
        <is>
          <t>Product</t>
        </is>
      </c>
      <c r="B4" s="10" t="inlineStr">
        <is>
          <t>Rev Trajectory</t>
        </is>
      </c>
      <c r="C4" s="10" t="inlineStr">
        <is>
          <t>GP vs Target</t>
        </is>
      </c>
      <c r="D4" s="10" t="inlineStr">
        <is>
          <t>Payback Status</t>
        </is>
      </c>
      <c r="E4" s="10" t="inlineStr">
        <is>
          <t>Overall RAG</t>
        </is>
      </c>
      <c r="F4" s="10" t="inlineStr">
        <is>
          <t>What's Off</t>
        </is>
      </c>
      <c r="G4" s="10" t="inlineStr">
        <is>
          <t>Why</t>
        </is>
      </c>
      <c r="H4" s="10" t="inlineStr">
        <is>
          <t>Action (Owner/Date)</t>
        </is>
      </c>
      <c r="I4" s="10" t="inlineStr">
        <is>
          <t>Rev Score (40%)</t>
        </is>
      </c>
      <c r="J4" s="10" t="inlineStr">
        <is>
          <t>GP Score (30%)</t>
        </is>
      </c>
      <c r="K4" s="10" t="inlineStr">
        <is>
          <t>ROI Score (30%)</t>
        </is>
      </c>
      <c r="L4" s="10" t="inlineStr">
        <is>
          <t>Total Score</t>
        </is>
      </c>
      <c r="M4" s="10" t="inlineStr">
        <is>
          <t>Review Date</t>
        </is>
      </c>
    </row>
    <row r="5">
      <c r="A5" s="11" t="inlineStr">
        <is>
          <t>2201D-LFT-FOUP</t>
        </is>
      </c>
      <c r="B5" s="16" t="inlineStr">
        <is>
          <t>GREEN</t>
        </is>
      </c>
      <c r="C5" s="18" t="inlineStr">
        <is>
          <t>AMBER</t>
        </is>
      </c>
      <c r="D5" s="16" t="inlineStr">
        <is>
          <t>GO</t>
        </is>
      </c>
      <c r="E5" s="33" t="inlineStr">
        <is>
          <t>AMBER</t>
        </is>
      </c>
      <c r="F5" s="17" t="inlineStr">
        <is>
          <t>GP 77% vs target 86% (-9%pp)</t>
        </is>
      </c>
      <c r="G5" s="17" t="inlineStr">
        <is>
          <t>COGS higher than biz case assumption or pricing pressure</t>
        </is>
      </c>
      <c r="H5" s="17" t="inlineStr">
        <is>
          <t>Finance + PLM to review cost structure and pricing (next monthly review)</t>
        </is>
      </c>
      <c r="I5" s="34" t="n">
        <v>23.5</v>
      </c>
      <c r="J5" s="34" t="n">
        <v>30</v>
      </c>
      <c r="K5" s="34" t="n">
        <v>30</v>
      </c>
      <c r="L5" s="34" t="n">
        <v>83.5</v>
      </c>
      <c r="M5" s="35" t="inlineStr"/>
    </row>
    <row r="6">
      <c r="A6" s="11" t="inlineStr">
        <is>
          <t>2218D-SEN-SIC4343</t>
        </is>
      </c>
      <c r="B6" s="19" t="inlineStr">
        <is>
          <t>RED</t>
        </is>
      </c>
      <c r="C6" s="16" t="inlineStr">
        <is>
          <t>GREEN</t>
        </is>
      </c>
      <c r="D6" s="19" t="inlineStr">
        <is>
          <t>REVIEW</t>
        </is>
      </c>
      <c r="E6" s="26" t="inlineStr">
        <is>
          <t>RED</t>
        </is>
      </c>
      <c r="F6" s="17" t="inlineStr">
        <is>
          <t>Revenue at 3% of plan (2,193,013 THB gap)</t>
        </is>
      </c>
      <c r="G6" s="17" t="inlineStr">
        <is>
          <t>Structural miss — actual revenue significantly below biz case projections</t>
        </is>
      </c>
      <c r="H6" s="17" t="inlineStr">
        <is>
          <t>Escalate to executive review — assess product viability and market fit (immediate)</t>
        </is>
      </c>
      <c r="I6" s="34" t="n">
        <v>0.8</v>
      </c>
      <c r="J6" s="34" t="n">
        <v>30</v>
      </c>
      <c r="K6" s="34" t="n">
        <v>0.6</v>
      </c>
      <c r="L6" s="34" t="n">
        <v>31.4</v>
      </c>
      <c r="M6" s="35" t="inlineStr"/>
    </row>
    <row r="7">
      <c r="A7" s="11" t="inlineStr">
        <is>
          <t>2003D-LFT-SIC7805</t>
        </is>
      </c>
      <c r="B7" s="16" t="inlineStr">
        <is>
          <t>GREEN</t>
        </is>
      </c>
      <c r="C7" s="16" t="inlineStr">
        <is>
          <t>GREEN</t>
        </is>
      </c>
      <c r="D7" s="19" t="inlineStr">
        <is>
          <t>REVIEW</t>
        </is>
      </c>
      <c r="E7" s="26" t="inlineStr">
        <is>
          <t>RED</t>
        </is>
      </c>
      <c r="F7" s="17" t="inlineStr">
        <is>
          <t>Payback pace 4.5yr vs target 1.9yr (+2.6yr)</t>
        </is>
      </c>
      <c r="G7" s="17" t="inlineStr">
        <is>
          <t>Revenue trajectory not supporting investment recovery within acceptable timeframe</t>
        </is>
      </c>
      <c r="H7" s="17" t="inlineStr">
        <is>
          <t>Executive review of product viability — consider restructure or exit (within 30 days)</t>
        </is>
      </c>
      <c r="I7" s="34" t="n">
        <v>20</v>
      </c>
      <c r="J7" s="34" t="n">
        <v>19.8</v>
      </c>
      <c r="K7" s="34" t="n">
        <v>2.2</v>
      </c>
      <c r="L7" s="34" t="n">
        <v>42</v>
      </c>
      <c r="M7" s="35" t="inlineStr"/>
    </row>
    <row r="8">
      <c r="A8" s="11" t="inlineStr">
        <is>
          <t>1805D-HDX3-SIC379</t>
        </is>
      </c>
      <c r="B8" s="16" t="inlineStr">
        <is>
          <t>GREEN</t>
        </is>
      </c>
      <c r="C8" s="16" t="inlineStr">
        <is>
          <t>GREEN</t>
        </is>
      </c>
      <c r="D8" s="21" t="inlineStr">
        <is>
          <t>MONITOR</t>
        </is>
      </c>
      <c r="E8" s="25" t="inlineStr">
        <is>
          <t>GREEN</t>
        </is>
      </c>
      <c r="F8" s="17" t="inlineStr"/>
      <c r="G8" s="17" t="inlineStr"/>
      <c r="H8" s="17" t="inlineStr"/>
      <c r="I8" s="34" t="n">
        <v>20</v>
      </c>
      <c r="J8" s="34" t="n">
        <v>30</v>
      </c>
      <c r="K8" s="34" t="n">
        <v>0</v>
      </c>
      <c r="L8" s="34" t="n">
        <v>50</v>
      </c>
      <c r="M8" s="35" t="inlineStr"/>
    </row>
    <row r="9">
      <c r="A9" s="11" t="inlineStr">
        <is>
          <t>2406D-CNT-GT12</t>
        </is>
      </c>
      <c r="B9" s="18" t="inlineStr">
        <is>
          <t>AMBER</t>
        </is>
      </c>
      <c r="C9" s="16" t="inlineStr">
        <is>
          <t>GREEN</t>
        </is>
      </c>
      <c r="D9" s="21" t="inlineStr">
        <is>
          <t>MONITOR</t>
        </is>
      </c>
      <c r="E9" s="33" t="inlineStr">
        <is>
          <t>AMBER</t>
        </is>
      </c>
      <c r="F9" s="17" t="inlineStr">
        <is>
          <t>Revenue at 0% of plan (330,000 THB gap)</t>
        </is>
      </c>
      <c r="G9" s="17" t="inlineStr">
        <is>
          <t>Recent launch with slower than expected initial traction</t>
        </is>
      </c>
      <c r="H9" s="17" t="inlineStr">
        <is>
          <t>Sales to provide customer status update and revised ramp forecast (next PLM review)</t>
        </is>
      </c>
      <c r="I9" s="34" t="n">
        <v>0</v>
      </c>
      <c r="J9" s="34" t="n">
        <v>30</v>
      </c>
      <c r="K9" s="34" t="n">
        <v>0</v>
      </c>
      <c r="L9" s="34" t="n">
        <v>30</v>
      </c>
      <c r="M9" s="35" t="inlineStr"/>
    </row>
    <row r="10">
      <c r="A10" s="11" t="inlineStr">
        <is>
          <t>2415D-CNT-Dragon</t>
        </is>
      </c>
      <c r="B10" s="16" t="inlineStr">
        <is>
          <t>GREEN</t>
        </is>
      </c>
      <c r="C10" s="16" t="inlineStr">
        <is>
          <t>GREEN</t>
        </is>
      </c>
      <c r="D10" s="19" t="inlineStr">
        <is>
          <t>REVIEW</t>
        </is>
      </c>
      <c r="E10" s="26" t="inlineStr">
        <is>
          <t>RED</t>
        </is>
      </c>
      <c r="F10" s="17" t="inlineStr">
        <is>
          <t>Payback pace 4.9yr vs target 2.1yr (+2.8yr)</t>
        </is>
      </c>
      <c r="G10" s="17" t="inlineStr">
        <is>
          <t>Revenue trajectory not supporting investment recovery within acceptable timeframe</t>
        </is>
      </c>
      <c r="H10" s="17" t="inlineStr">
        <is>
          <t>Executive review of product viability — consider restructure or exit (within 30 days)</t>
        </is>
      </c>
      <c r="I10" s="34" t="n">
        <v>20</v>
      </c>
      <c r="J10" s="34" t="n">
        <v>30</v>
      </c>
      <c r="K10" s="34" t="n">
        <v>2</v>
      </c>
      <c r="L10" s="34" t="n">
        <v>52</v>
      </c>
      <c r="M10" s="35" t="inlineStr"/>
    </row>
    <row r="11">
      <c r="A11" s="11" t="inlineStr">
        <is>
          <t>2417D-CNT-Marlin</t>
        </is>
      </c>
      <c r="B11" s="16" t="inlineStr">
        <is>
          <t>GREEN</t>
        </is>
      </c>
      <c r="C11" s="16" t="inlineStr">
        <is>
          <t>GREEN</t>
        </is>
      </c>
      <c r="D11" s="21" t="inlineStr">
        <is>
          <t>MONITOR</t>
        </is>
      </c>
      <c r="E11" s="25" t="inlineStr">
        <is>
          <t>GREEN</t>
        </is>
      </c>
      <c r="F11" s="17" t="inlineStr"/>
      <c r="G11" s="17" t="inlineStr"/>
      <c r="H11" s="17" t="inlineStr"/>
      <c r="I11" s="34" t="n">
        <v>20</v>
      </c>
      <c r="J11" s="34" t="n">
        <v>19.2</v>
      </c>
      <c r="K11" s="34" t="n">
        <v>0.2</v>
      </c>
      <c r="L11" s="34" t="n">
        <v>39.4</v>
      </c>
      <c r="M11" s="35" t="inlineStr"/>
    </row>
    <row r="12">
      <c r="A12" s="11" t="inlineStr">
        <is>
          <t>2112D-CNT-NFCV</t>
        </is>
      </c>
      <c r="B12" s="16" t="inlineStr">
        <is>
          <t>GREEN</t>
        </is>
      </c>
      <c r="C12" s="16" t="inlineStr">
        <is>
          <t>GREEN</t>
        </is>
      </c>
      <c r="D12" s="21" t="inlineStr">
        <is>
          <t>MONITOR</t>
        </is>
      </c>
      <c r="E12" s="25" t="inlineStr">
        <is>
          <t>GREEN</t>
        </is>
      </c>
      <c r="F12" s="17" t="inlineStr"/>
      <c r="G12" s="17" t="inlineStr"/>
      <c r="H12" s="17" t="inlineStr"/>
      <c r="I12" s="34" t="n">
        <v>20</v>
      </c>
      <c r="J12" s="34" t="n">
        <v>29.4</v>
      </c>
      <c r="K12" s="34" t="n">
        <v>0</v>
      </c>
      <c r="L12" s="34" t="n">
        <v>49.4</v>
      </c>
      <c r="M12" s="35" t="inlineStr"/>
    </row>
    <row r="15">
      <c r="A15" s="36" t="inlineStr">
        <is>
          <t>RAG METHODOLOGY — TRAJECTORY vs PLAN</t>
        </is>
      </c>
    </row>
    <row r="16">
      <c r="A16" s="37" t="inlineStr">
        <is>
          <t>GREEN</t>
        </is>
      </c>
      <c r="B16" s="38" t="inlineStr">
        <is>
          <t>On or ahead of plan for this point in the product lifecycle</t>
        </is>
      </c>
    </row>
    <row r="17">
      <c r="A17" s="37" t="inlineStr">
        <is>
          <t>AMBER</t>
        </is>
      </c>
      <c r="B17" s="38" t="inlineStr">
        <is>
          <t>Behind plan but recoverable with identified actions — commentary required</t>
        </is>
      </c>
    </row>
    <row r="18">
      <c r="A18" s="37" t="inlineStr">
        <is>
          <t>RED</t>
        </is>
      </c>
      <c r="B18" s="38" t="inlineStr">
        <is>
          <t>Structurally off-plan, requires intervention now — commentary + owner + date required</t>
        </is>
      </c>
    </row>
    <row r="19">
      <c r="A19" s="37" t="inlineStr">
        <is>
          <t>No Orphan Reds</t>
        </is>
      </c>
      <c r="B19" s="38" t="inlineStr">
        <is>
          <t>Every AMBER/RED must answer: What's off | Why | Action (with owner and timeframe)</t>
        </is>
      </c>
    </row>
    <row r="20">
      <c r="A20" s="37" t="inlineStr">
        <is>
          <t>Rev Trajectory</t>
        </is>
      </c>
      <c r="B20" s="38" t="inlineStr">
        <is>
          <t>Actual revenue vs biz case expected revenue at this point in time</t>
        </is>
      </c>
    </row>
    <row r="21">
      <c r="A21" s="37" t="inlineStr">
        <is>
          <t>GP vs Target</t>
        </is>
      </c>
      <c r="B21" s="38" t="inlineStr">
        <is>
          <t>Actual GP% vs biz case GP target (within 5pp = GREEN)</t>
        </is>
      </c>
    </row>
    <row r="22">
      <c r="A22" s="37" t="inlineStr">
        <is>
          <t>Payback Status</t>
        </is>
      </c>
      <c r="B22" s="38" t="inlineStr">
        <is>
          <t>Current payback pace vs biz case payback target (within 120% = GO)</t>
        </is>
      </c>
    </row>
  </sheetData>
  <mergeCells count="9">
    <mergeCell ref="B16:M16"/>
    <mergeCell ref="A1:M1"/>
    <mergeCell ref="B19:M19"/>
    <mergeCell ref="B20:M20"/>
    <mergeCell ref="B22:M22"/>
    <mergeCell ref="B17:M17"/>
    <mergeCell ref="B18:M18"/>
    <mergeCell ref="B21:M21"/>
    <mergeCell ref="A2:M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8E24AA"/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0" customWidth="1" min="13" max="13"/>
    <col width="14" customWidth="1" min="14" max="14"/>
  </cols>
  <sheetData>
    <row r="1" ht="30" customHeight="1">
      <c r="A1" s="1" t="inlineStr">
        <is>
          <t>ORIGINAL BUSINESS CASE BENCHMARKS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Key financial assumptions from approved business cases (all USD unless noted)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>
      <c r="A4" s="10" t="inlineStr">
        <is>
          <t>Product</t>
        </is>
      </c>
      <c r="B4" s="10" t="inlineStr">
        <is>
          <t>Chip</t>
        </is>
      </c>
      <c r="C4" s="10" t="inlineStr">
        <is>
          <t>Gate</t>
        </is>
      </c>
      <c r="D4" s="10" t="inlineStr">
        <is>
          <t>BC Period (Yrs)</t>
        </is>
      </c>
      <c r="E4" s="10" t="inlineStr">
        <is>
          <t>Investment (USD)</t>
        </is>
      </c>
      <c r="F4" s="10" t="inlineStr">
        <is>
          <t>Total Rev (USD)</t>
        </is>
      </c>
      <c r="G4" s="10" t="inlineStr">
        <is>
          <t>Total COGS (USD)</t>
        </is>
      </c>
      <c r="H4" s="10" t="inlineStr">
        <is>
          <t>GP excl Intan %</t>
        </is>
      </c>
      <c r="I4" s="10" t="inlineStr">
        <is>
          <t>Net Profit %</t>
        </is>
      </c>
      <c r="J4" s="10" t="inlineStr">
        <is>
          <t>Payback (Yrs)</t>
        </is>
      </c>
      <c r="K4" s="10" t="inlineStr">
        <is>
          <t>Disc. Payback (Yrs)</t>
        </is>
      </c>
      <c r="L4" s="10" t="inlineStr">
        <is>
          <t>NPV (USD)</t>
        </is>
      </c>
      <c r="M4" s="10" t="inlineStr">
        <is>
          <t>WACC</t>
        </is>
      </c>
      <c r="N4" s="10" t="inlineStr">
        <is>
          <t>Impairment</t>
        </is>
      </c>
    </row>
    <row r="5">
      <c r="A5" s="11" t="inlineStr">
        <is>
          <t>2201D-LFT-FOUP</t>
        </is>
      </c>
      <c r="B5" s="11" t="inlineStr">
        <is>
          <t>SIC73F1</t>
        </is>
      </c>
      <c r="C5" s="11" t="inlineStr">
        <is>
          <t>Q-Gate</t>
        </is>
      </c>
      <c r="D5" s="20" t="n">
        <v>5</v>
      </c>
      <c r="E5" s="23" t="n">
        <v>352015</v>
      </c>
      <c r="F5" s="23" t="n">
        <v>7089642</v>
      </c>
      <c r="G5" s="23" t="n">
        <v>2046304</v>
      </c>
      <c r="H5" s="14" t="n">
        <v>0.86</v>
      </c>
      <c r="I5" s="14" t="n">
        <v>0.62</v>
      </c>
      <c r="J5" s="15" t="n">
        <v>0.73</v>
      </c>
      <c r="K5" s="15" t="n">
        <v>0.8100000000000001</v>
      </c>
      <c r="L5" s="23" t="n">
        <v>618227</v>
      </c>
      <c r="M5" s="14" t="n">
        <v>0.1175</v>
      </c>
      <c r="N5" s="11" t="inlineStr">
        <is>
          <t>No Impairment</t>
        </is>
      </c>
    </row>
    <row r="6">
      <c r="A6" s="11" t="inlineStr">
        <is>
          <t>2218D-SEN-SIC4343</t>
        </is>
      </c>
      <c r="B6" s="11" t="inlineStr">
        <is>
          <t>SIC4343</t>
        </is>
      </c>
      <c r="C6" s="11" t="inlineStr">
        <is>
          <t>R-Gate</t>
        </is>
      </c>
      <c r="D6" s="20" t="n">
        <v>6</v>
      </c>
      <c r="E6" s="23" t="n">
        <v>46273</v>
      </c>
      <c r="F6" s="23" t="n">
        <v>1508041</v>
      </c>
      <c r="G6" s="23" t="n">
        <v>266095</v>
      </c>
      <c r="H6" s="14" t="n">
        <v>0.82</v>
      </c>
      <c r="I6" s="14" t="n">
        <v>0.65</v>
      </c>
      <c r="J6" s="15" t="n">
        <v>1.69</v>
      </c>
      <c r="K6" s="15" t="n">
        <v>1.91</v>
      </c>
      <c r="L6" s="23" t="n">
        <v>669671</v>
      </c>
      <c r="M6" s="14" t="n">
        <v>0.1175</v>
      </c>
      <c r="N6" s="11" t="inlineStr">
        <is>
          <t>No Impairment</t>
        </is>
      </c>
    </row>
    <row r="7">
      <c r="A7" s="11" t="inlineStr">
        <is>
          <t>2003D-LFT-SIC7805</t>
        </is>
      </c>
      <c r="B7" s="11" t="inlineStr">
        <is>
          <t>SIC7150</t>
        </is>
      </c>
      <c r="C7" s="11" t="inlineStr">
        <is>
          <t>RFS-Gate</t>
        </is>
      </c>
      <c r="D7" s="20" t="n">
        <v>9</v>
      </c>
      <c r="E7" s="23" t="n">
        <v>846442</v>
      </c>
      <c r="F7" s="23" t="n">
        <v>10022896</v>
      </c>
      <c r="G7" s="23" t="n">
        <v>6681704</v>
      </c>
      <c r="H7" s="14" t="n">
        <v>0.33</v>
      </c>
      <c r="I7" s="14" t="n">
        <v>0.08</v>
      </c>
      <c r="J7" s="15" t="n">
        <v>1.94</v>
      </c>
      <c r="K7" s="15" t="n">
        <v>2.33</v>
      </c>
      <c r="L7" s="23" t="n">
        <v>409344</v>
      </c>
      <c r="M7" s="14" t="n">
        <v>0.101</v>
      </c>
      <c r="N7" s="11" t="inlineStr">
        <is>
          <t>No Impairment</t>
        </is>
      </c>
    </row>
    <row r="8">
      <c r="A8" s="11" t="inlineStr">
        <is>
          <t>1805D-HDX3-SIC379</t>
        </is>
      </c>
      <c r="B8" s="11" t="inlineStr">
        <is>
          <t>SIC379</t>
        </is>
      </c>
      <c r="C8" s="11" t="inlineStr">
        <is>
          <t>RFS-Gate</t>
        </is>
      </c>
      <c r="D8" s="20" t="inlineStr">
        <is>
          <t>N/A</t>
        </is>
      </c>
      <c r="E8" s="20" t="inlineStr">
        <is>
          <t>N/A</t>
        </is>
      </c>
      <c r="F8" s="20" t="inlineStr">
        <is>
          <t>N/A</t>
        </is>
      </c>
      <c r="G8" s="20" t="inlineStr">
        <is>
          <t>N/A</t>
        </is>
      </c>
      <c r="H8" s="14" t="n">
        <v>0.68</v>
      </c>
      <c r="I8" s="20" t="inlineStr">
        <is>
          <t>N/A</t>
        </is>
      </c>
      <c r="J8" s="20" t="inlineStr">
        <is>
          <t>N/A</t>
        </is>
      </c>
      <c r="K8" s="20" t="inlineStr">
        <is>
          <t>N/A</t>
        </is>
      </c>
      <c r="L8" s="20" t="inlineStr">
        <is>
          <t>N/A</t>
        </is>
      </c>
      <c r="M8" s="20" t="inlineStr">
        <is>
          <t>N/A</t>
        </is>
      </c>
      <c r="N8" s="11" t="inlineStr">
        <is>
          <t>No Impairment</t>
        </is>
      </c>
    </row>
    <row r="9">
      <c r="A9" s="11" t="inlineStr">
        <is>
          <t>2406D-CNT-GT12</t>
        </is>
      </c>
      <c r="B9" s="11" t="inlineStr">
        <is>
          <t>SIC279</t>
        </is>
      </c>
      <c r="C9" s="11" t="inlineStr">
        <is>
          <t>RFS-Gate</t>
        </is>
      </c>
      <c r="D9" s="20" t="n">
        <v>11</v>
      </c>
      <c r="E9" s="23" t="n">
        <v>255040</v>
      </c>
      <c r="F9" s="23" t="n">
        <v>1500000</v>
      </c>
      <c r="G9" s="23" t="n">
        <v>722032</v>
      </c>
      <c r="H9" s="14" t="n">
        <v>0.52</v>
      </c>
      <c r="I9" s="14" t="n">
        <v>0.21</v>
      </c>
      <c r="J9" s="15" t="n">
        <v>5.13</v>
      </c>
      <c r="K9" s="15" t="n">
        <v>6.86</v>
      </c>
      <c r="L9" s="23" t="n">
        <v>321478</v>
      </c>
      <c r="M9" s="14" t="n">
        <v>0.101</v>
      </c>
      <c r="N9" s="11" t="inlineStr">
        <is>
          <t>No Impairment</t>
        </is>
      </c>
    </row>
    <row r="10">
      <c r="A10" s="11" t="inlineStr">
        <is>
          <t>2415D-CNT-Dragon</t>
        </is>
      </c>
      <c r="B10" s="11" t="inlineStr">
        <is>
          <t>SIC72A1</t>
        </is>
      </c>
      <c r="C10" s="11" t="inlineStr">
        <is>
          <t>R-Gate</t>
        </is>
      </c>
      <c r="D10" s="20" t="n">
        <v>10</v>
      </c>
      <c r="E10" s="23" t="n">
        <v>59820</v>
      </c>
      <c r="F10" s="23" t="n">
        <v>3068116</v>
      </c>
      <c r="G10" s="23" t="n">
        <v>1585553</v>
      </c>
      <c r="H10" s="14" t="n">
        <v>0.48</v>
      </c>
      <c r="I10" s="14" t="n">
        <v>0.32</v>
      </c>
      <c r="J10" s="15" t="n">
        <v>2.07</v>
      </c>
      <c r="K10" s="15" t="n">
        <v>2.16</v>
      </c>
      <c r="L10" s="23" t="n">
        <v>574430</v>
      </c>
      <c r="M10" s="14" t="n">
        <v>0.101</v>
      </c>
      <c r="N10" s="11" t="inlineStr">
        <is>
          <t>No Impairment</t>
        </is>
      </c>
    </row>
    <row r="11">
      <c r="A11" s="11" t="inlineStr">
        <is>
          <t>2417D-CNT-Marlin</t>
        </is>
      </c>
      <c r="B11" s="11" t="inlineStr">
        <is>
          <t>SIC72A2</t>
        </is>
      </c>
      <c r="C11" s="11" t="inlineStr">
        <is>
          <t>RFS-Gate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14" t="n">
        <v>0.32</v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11" t="inlineStr">
        <is>
          <t>No Impairment</t>
        </is>
      </c>
    </row>
    <row r="12">
      <c r="A12" s="11" t="inlineStr">
        <is>
          <t>2112D-CNT-NFCV</t>
        </is>
      </c>
      <c r="B12" s="11" t="inlineStr">
        <is>
          <t>SIC56NL</t>
        </is>
      </c>
      <c r="C12" s="11" t="inlineStr">
        <is>
          <t>D3-Gate</t>
        </is>
      </c>
      <c r="D12" s="20" t="n">
        <v>5</v>
      </c>
      <c r="E12" s="23" t="n">
        <v>979663</v>
      </c>
      <c r="F12" s="23" t="n">
        <v>6885400</v>
      </c>
      <c r="G12" s="23" t="n">
        <v>3500184</v>
      </c>
      <c r="H12" s="14" t="n">
        <v>0.49</v>
      </c>
      <c r="I12" s="14" t="n">
        <v>0.21</v>
      </c>
      <c r="J12" s="15" t="n">
        <v>2.42</v>
      </c>
      <c r="K12" s="15" t="n">
        <v>2.72</v>
      </c>
      <c r="L12" s="23" t="n">
        <v>1423926</v>
      </c>
      <c r="M12" s="14" t="n">
        <v>0.101</v>
      </c>
      <c r="N12" s="11" t="inlineStr">
        <is>
          <t>No Impairment</t>
        </is>
      </c>
    </row>
    <row r="13">
      <c r="A13" s="39" t="inlineStr">
        <is>
          <t>2101R-SEN-4340BT</t>
        </is>
      </c>
      <c r="B13" s="39" t="inlineStr">
        <is>
          <t>SIC824B</t>
        </is>
      </c>
      <c r="C13" s="39" t="inlineStr">
        <is>
          <t>N/A</t>
        </is>
      </c>
      <c r="D13" s="40" t="n">
        <v>6</v>
      </c>
      <c r="E13" s="41" t="n">
        <v>61000</v>
      </c>
      <c r="F13" s="41" t="n">
        <v>430000</v>
      </c>
      <c r="G13" s="41" t="n">
        <v>75079</v>
      </c>
      <c r="H13" s="42" t="n">
        <v>0.84</v>
      </c>
      <c r="I13" s="40" t="inlineStr">
        <is>
          <t>N/A</t>
        </is>
      </c>
      <c r="J13" s="43" t="n">
        <v>2.28</v>
      </c>
      <c r="K13" s="40" t="inlineStr">
        <is>
          <t>N/A</t>
        </is>
      </c>
      <c r="L13" s="41" t="n">
        <v>129606</v>
      </c>
      <c r="M13" s="42" t="n">
        <v>0.15</v>
      </c>
      <c r="N13" s="39" t="inlineStr">
        <is>
          <t>No Impairment</t>
        </is>
      </c>
    </row>
    <row r="14">
      <c r="A14" s="39" t="inlineStr">
        <is>
          <t>2411D-AUT-73WR</t>
        </is>
      </c>
      <c r="B14" s="39" t="inlineStr">
        <is>
          <t>SIC73WR</t>
        </is>
      </c>
      <c r="C14" s="39" t="inlineStr">
        <is>
          <t>Q/R-Gate</t>
        </is>
      </c>
      <c r="D14" s="40" t="n">
        <v>5</v>
      </c>
      <c r="E14" s="41" t="n">
        <v>7592</v>
      </c>
      <c r="F14" s="41" t="n">
        <v>15800</v>
      </c>
      <c r="G14" s="41" t="n">
        <v>5265</v>
      </c>
      <c r="H14" s="42" t="n">
        <v>0.67</v>
      </c>
      <c r="I14" s="42" t="n">
        <v>0.05</v>
      </c>
      <c r="J14" s="43" t="n">
        <v>3.51</v>
      </c>
      <c r="K14" s="43" t="n">
        <v>4.75</v>
      </c>
      <c r="L14" s="41" t="n">
        <v>307</v>
      </c>
      <c r="M14" s="42" t="n">
        <v>0.101</v>
      </c>
      <c r="N14" s="39" t="inlineStr">
        <is>
          <t>No Impairment</t>
        </is>
      </c>
    </row>
  </sheetData>
  <mergeCells count="2">
    <mergeCell ref="A2:N2"/>
    <mergeCell ref="A1:N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2026-03-12T10:54:05Z</dcterms:created>
  <dcterms:modified xmlns:dcterms="http://purl.org/dc/terms/" xmlns:xsi="http://www.w3.org/2001/XMLSchema-instance" xsi:type="dcterms:W3CDTF">2026-03-12T10:54:05Z</dcterms:modified>
</cp:coreProperties>
</file>